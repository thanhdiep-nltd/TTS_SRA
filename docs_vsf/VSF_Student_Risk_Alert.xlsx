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F:\PROJECT_VSF\VSF_SRA\docs_vsf\"/>
    </mc:Choice>
  </mc:AlternateContent>
  <xr:revisionPtr revIDLastSave="0" documentId="13_ncr:1_{E05245E8-61FC-4502-8A0F-B18463581561}" xr6:coauthVersionLast="47" xr6:coauthVersionMax="47" xr10:uidLastSave="{00000000-0000-0000-0000-000000000000}"/>
  <bookViews>
    <workbookView xWindow="-120" yWindow="-120" windowWidth="20730" windowHeight="11040" firstSheet="1" activeTab="7" xr2:uid="{00000000-000D-0000-FFFF-FFFF00000000}"/>
  </bookViews>
  <sheets>
    <sheet name="Tổng hợp hồ sơ" sheetId="1" r:id="rId1"/>
    <sheet name="PRD" sheetId="2" r:id="rId2"/>
    <sheet name="Mini-SRS" sheetId="3" r:id="rId3"/>
    <sheet name="Project Charter" sheetId="4" r:id="rId4"/>
    <sheet name="Backlog" sheetId="5" r:id="rId5"/>
    <sheet name="Bug" sheetId="6" r:id="rId6"/>
    <sheet name="Đường link" sheetId="7" r:id="rId7"/>
    <sheet name="User Story"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3" i="1" l="1"/>
  <c r="D23" i="1"/>
  <c r="C23" i="1"/>
  <c r="F23" i="1" s="1"/>
  <c r="E22" i="1"/>
  <c r="D22" i="1"/>
  <c r="C22" i="1"/>
  <c r="F22" i="1" s="1"/>
  <c r="E21" i="1"/>
  <c r="D21" i="1"/>
  <c r="C21" i="1"/>
  <c r="F21" i="1" s="1"/>
  <c r="E20" i="1"/>
  <c r="D20" i="1"/>
  <c r="C20" i="1"/>
  <c r="F20" i="1" s="1"/>
  <c r="E19" i="1"/>
  <c r="D19" i="1"/>
  <c r="C19" i="1"/>
  <c r="F19" i="1" s="1"/>
  <c r="E18" i="1"/>
  <c r="D18" i="1"/>
  <c r="C18" i="1"/>
  <c r="F18" i="1" s="1"/>
  <c r="E17" i="1"/>
  <c r="E24" i="1" s="1"/>
  <c r="D17" i="1"/>
  <c r="D24" i="1" s="1"/>
  <c r="F24" i="1" s="1"/>
  <c r="C17" i="1"/>
  <c r="C24" i="1" s="1"/>
  <c r="F17" i="1" l="1"/>
</calcChain>
</file>

<file path=xl/sharedStrings.xml><?xml version="1.0" encoding="utf-8"?>
<sst xmlns="http://schemas.openxmlformats.org/spreadsheetml/2006/main" count="654" uniqueCount="492">
  <si>
    <t>TỔNG HỢP HỒ SƠ QUẢN LÝ DỰ ÁN</t>
  </si>
  <si>
    <t>Hệ Thống Cảnh Báo Sớm Học Sinh Có Nguy Cơ Sư Phạm (VSF Student Risk Alert - VSF SRA)</t>
  </si>
  <si>
    <t>Tình hình hiện tại</t>
  </si>
  <si>
    <t>Đang triển khai (đúng tiến độ)</t>
  </si>
  <si>
    <t>Tên dự án</t>
  </si>
  <si>
    <t>VSF STUDENT RISK ALERT</t>
  </si>
  <si>
    <t>Ngày bắt đầu</t>
  </si>
  <si>
    <t>Ngày kết thúc dự kiến</t>
  </si>
  <si>
    <t>Trưởng nhóm</t>
  </si>
  <si>
    <t>Nguyễn Lê Thanh Điệp</t>
  </si>
  <si>
    <t>Mentor phụ trách</t>
  </si>
  <si>
    <t>Huỳnh Việt Linh (v.linhhv12@vinsmartfuture.tech)
Nguyễn Thành Đăng (v.dangnt11@vinsmartfuture.tech))</t>
  </si>
  <si>
    <t>Đối tác sử dụng (Stakeholder)</t>
  </si>
  <si>
    <t>Vinschool</t>
  </si>
  <si>
    <t>Kho lưu mã nguồn (GitHub)</t>
  </si>
  <si>
    <t xml:space="preserve">Chưa có </t>
  </si>
  <si>
    <t>Địa chỉ sản phẩm (Live URL)</t>
  </si>
  <si>
    <t>Mục tiêu dự án</t>
  </si>
  <si>
    <t>Xây dựng hệ thống cảnh báo sớm học sinh có nguy cơ học thuật/hành vi dựa trên dữ liệu School Online Schema. Hệ thống tích hợp 4 module chính: Text-to-Query (hỏi đáp dữ liệu), Multi-Agent (phân tích chỉ số chuyên sâu), RAG+LLM (đánh giá đề thi) và OCR (nhập điểm tự động).</t>
  </si>
  <si>
    <t>TỔNG HỢP TIẾN ĐỘ THEO SPRINT (Water-Scrum-Fall)</t>
  </si>
  <si>
    <t>Sprint</t>
  </si>
  <si>
    <t>Giai đoạn</t>
  </si>
  <si>
    <t>Tổng số việc</t>
  </si>
  <si>
    <t>Đã xong</t>
  </si>
  <si>
    <t>Đang làm</t>
  </si>
  <si>
    <t>Trạng thái</t>
  </si>
  <si>
    <t>Sprint 1</t>
  </si>
  <si>
    <t>Tuần 0: Khởi động, thống nhất phạm vi, mini-SRS &amp; thiết kế kiến trúc</t>
  </si>
  <si>
    <t>Sprint 2</t>
  </si>
  <si>
    <t>Tuần 1: Thiết lập môi trường &amp; ERD dữ liệu giả</t>
  </si>
  <si>
    <t>Sprint 3</t>
  </si>
  <si>
    <t>Tuần 2: Module Text-to-Query (NL-to-Query)</t>
  </si>
  <si>
    <t>Sprint 4</t>
  </si>
  <si>
    <t>Tuần 3: Phân tích các yếu tố tác động</t>
  </si>
  <si>
    <t>Sprint 5</t>
  </si>
  <si>
    <t>Tuần 4: Module Multi-Agent &amp; Dự báo học lực</t>
  </si>
  <si>
    <t>Sprint 6</t>
  </si>
  <si>
    <t>Tuần 5: Module RAG + LLM &amp; OCR</t>
  </si>
  <si>
    <t>Sprint 7</t>
  </si>
  <si>
    <t>Tuần 6: Kiểm thử toàn diện, UI Dashboard, Triển khai &amp; Bàn giao</t>
  </si>
  <si>
    <t>TỔNG</t>
  </si>
  <si>
    <t>7 Sprint (7 Tuần)</t>
  </si>
  <si>
    <t>TÀI LIỆU YÊU CẦU SẢN PHẨM (PRD) — AI20K-075</t>
  </si>
  <si>
    <t>Mục lớn</t>
  </si>
  <si>
    <t>Hạng mục chi tiết</t>
  </si>
  <si>
    <t>Nội dung đặc tả yêu cầu sản phẩm</t>
  </si>
  <si>
    <t>Ghi chú</t>
  </si>
  <si>
    <t>1. Tổng quan sản phẩm</t>
  </si>
  <si>
    <t>Mô tả</t>
  </si>
  <si>
    <t>Hệ thống VSF Student Risk Alert (VSF SRA) là giải pháp phân tích học thuật (Learning Analytics) sử dụng AI Agent để cảnh báo sớm các nguy cơ học tập và rèn luyện của học sinh K-12. Hệ thống giúp Ban Giám Hiệu và Giáo viên chủ động đưa ra các quyết định can thiệp sư phạm kịp thời dựa trên bằng chứng dữ liệu, thay thế cho quy trình báo cáo thủ công trễ hạn.</t>
  </si>
  <si>
    <t>2. Đối tượng người dùng và Phân quyền (RBAC)</t>
  </si>
  <si>
    <t>Ban Giám Hiệu (Hiệu trưởng / Hiệu phó)</t>
  </si>
  <si>
    <t>- Xem dashboard vĩ mô toàn trường (read-only đối với dữ liệu điểm số).
- Sử dụng trợ lý AI hỏi đáp tiếng Việt để tra cứu dữ liệu tổng hợp.</t>
  </si>
  <si>
    <t>Giáo viên chủ nhiệm &amp; Giáo viên bộ môn</t>
  </si>
  <si>
    <t>- Quản lý, nhập/sửa điểm số học sinh thuộc lớp/môn phụ trách.
- Tải lên đề thi và tài liệu môn học để chạy OCR và RAG phân tích.
- Theo dõi danh sách học sinh có nguy cơ thuộc lớp chủ nhiệm hoặc bộ môn mình dạy để can thiệp kịp thời.</t>
  </si>
  <si>
    <t>Admin Hệ thống (System Admin)</t>
  </si>
  <si>
    <t>- Giám sát kỹ thuật và theo dõi các metrics vận hành của hệ thống (độ trễ phản hồi, độ chính xác của AI Agent, thống kê đánh giá/phản hồi chất lượng từ người dùng cuối) thông qua giao diện quản trị `/admin/ai-metrics`.</t>
  </si>
  <si>
    <t>3. Yêu cầu Chức năng</t>
  </si>
  <si>
    <t>3.1. Module Text-to-Query (Hỏi đáp ngôn ngữ tự nhiên)</t>
  </si>
  <si>
    <t>- Tiếp nhận câu hỏi ngôn ngữ tự nhiên tiếng Việt về kết quả học tập từ BGH và dịch thành câu lệnh truy vấn dữ liệu (SQL cho PostgreSQL hoặc Pandas Query).
- Tích hợp lớp kiểm tra AST (`SQLGlot`) để chặn toàn bộ các lệnh thay đổi dữ liệu (`INSERT`, `UPDATE`, `DELETE`, `DROP`, `ALTER`).
- Áp dụng Row-Level Security (RLS) bằng cách tự động chèn tham số `school_id` của người dùng vào câu truy vấn trước khi thực thi để cách ly dữ liệu.</t>
  </si>
  <si>
    <t>3.2. Module Phân tích Yếu tố Tác động &amp; Các Mô hình Học thuật</t>
  </si>
  <si>
    <t>- Yêu cầu tích hợp dữ liệu:
  - Hệ thống tự động thu thập và phân tích **6 nhóm yếu tố đầu vào** từ cơ sở dữ liệu làm biến số dự báo:
    1. *Điểm số:* Lịch sử điểm số từ học bạ và sổ điểm (`fact_gradebooks`, `fact_subject_academic_records`).
    2. *Mức độ hoàn thành bài tập / LMS:* Điểm số, tỷ lệ nộp bài tập tự học (`fact_so_assignment_grade`).
    3. *Chuyên cần:* Số buổi vắng mặt có/không phép, đi muộn (`fact_absent_logs`, `fact_so_daily_attendance`).
    4. *Hành vi rèn luyện:* Điểm cộng/trừ hành vi (`fact_behavior_logs`) hoặc các trường hợp chăm sóc đặc biệt (trầm cảm, bệnh lý mãn tính,…).
    5. *Khảo sát học sinh:* Mức độ hài lòng của học sinh đối với môi trường học tập.
    6. *Biến cố gia đình:* Thông tin biến cố gia đình tác động đến tâm lý học sinh.
- Các mô hình toán / học máy bắt buộc:
  *Lưu ý quan trọng: Các mô hình toán và học máy dưới đây hiện chỉ mang tính chất **dự thảo đề xuất (proposed drafts)**, chưa được xác nhận chính thức sẽ sử dụng trong bài toán thực tế. Các tham số, trọng số hoặc mô hình có thể được thêm bớt hoặc thay đổi linh hoạt tùy thuộc vào mức độ đầy đủ của dữ liệu thu thập được để tránh phát sinh khối lượng công việc dư thừa. Các công thức toán học chi tiết hiện được ẩn đi bằng comment.*
    - **Mô hình dự báo nguy cơ học thuật sớm ($P(Fail)$):** Dự đoán xác suất học sinh trượt môn ($P(Fail) &gt;= 0.7$) trước khi diễn ra các kỳ thi lớn (ví dụ: trước kỳ thi học kỳ) dựa trên dữ liệu điểm số thường xuyên, lịch sử học tập và chuyên cần để tự động gắn cờ cảnh báo (Đỏ/Vàng) giúp giáo viên kịp thời can thiệp.
    - **Phân cụm học sinh đa chiều bằng NMF (Non-negative Matrix Factorization):** Phân tích và phân rã ma trận đặc trưng hợp nhất bao gồm: **Ma trận điểm số + Ma trận hành vi rèn luyện + Ma trận tác động ngoại cảnh** của học sinh để nhóm học sinh thành 4 cụm mô thức học tập thực tế: Consistent Achievers (Ổn định), Procrastinators (Trì hoãn bứt phá), High-effort Low-performance (Chăm chỉ nhưng thi kém), High-risk Learners (Sa sút liên tục).
    - **Mô hình dự báo học lực cơ bản:** Dự báo xu hướng kết quả học tập thông qua Hồi quy tuyến tính hoặc LLM-based forecasting kết hợp các yếu tố hành vi/chuyên cần định tính để chỉ ra chiều hướng học tập đi lên hoặc đi xuống.</t>
  </si>
  <si>
    <t>3.3. Module Multi-Agent System</t>
  </si>
  <si>
    <t>- Kiến trúc: Đồ thị trạng thái tuần hoàn (StateGraph) trên LangGraph được điều phối bởi **Supervisor Agent** (Tác tử giám sát):
  - *Data Agent:* Phục vụ truy xuất thông tin thô của học sinh, lớp học, điểm số.
  - *Stat Agent:* Thực hiện tính toán thống kê sâu.
  - *Report Agent:* Tự động sinh báo cáo hành chính (PDF/Word) kèm biểu đồ trực quan.
  - *Prediction Agent:* Thực thi mô hình dự báo học lực và xác định mức độ nguy cơ.
- Phân quyền cho Data Agent:
  - Data Agent tuân thủ nghiêm ngặt cơ chế phân quyền RBAC của hệ thống (ADMIN/PRINCIPAL/GRADE_HEAD/HOMEROOM/SUBJECT_TEACHER/SUBJECT_HEAD).
  - Data Agent sử dụng Token xác thực của người dùng hiện tại để thực thi truy vấn, đảm bảo cách ly dữ liệu và không xảy ra đọc vượt quyền.</t>
  </si>
  <si>
    <t>3.4. Module RAG + LLM &amp; OCR</t>
  </si>
  <si>
    <t>- Pipeline RAG &amp; OCR 1 (Ingestion): Quét giáo trình, sách giáo khoa, đề cương môn học dạng PDF/Ảnh -&gt; OCR trích xuất văn bản -&gt; Chunking &amp; Embedding -&gt; Lưu trữ vào **Qdrant Vector Database** phục vụ làm cơ sở tri thức đối chiếu.
- Pipeline RAG &amp; OCR 2 (Exam Analysis): Nhận file đề thi do giáo viên tải lên -&gt; OCR trích xuất đề thi -&gt; LLM đối chiếu với tri thức giáo trình trong Qdrant -&gt; Đánh giá mức độ bám sát chương trình, phân loại Bloom các câu hỏi (Nhận biết, Thông hiểu, Vận dụng, Vận dụng cao) và xuất chỉ số độ khó đề thi (CDI - Content Difficulty Index).</t>
  </si>
  <si>
    <t>4. Yêu cầu Phi chức năng</t>
  </si>
  <si>
    <t>4.1. Bảo mật</t>
  </si>
  <si>
    <t>- Toàn bộ các API được bảo vệ bằng mã hóa JWT Token.
- SQL Validator phải đảm bảo 100% không cho phép SQL Injection hoặc thực thi các lệnh thay đổi dữ liệu (`INSERT/UPDATE/DELETE`).
- Dữ liệu giữa các trường học (school) phải được cách ly tuyệt đối ở tầng cơ sở dữ liệu và API truy vấn thông qua bộ lọc `school_id`.</t>
  </si>
  <si>
    <t>4.2. Thiết kế Dữ liệu linh hoạt</t>
  </si>
  <si>
    <t>- ERD cơ sở dữ liệu phải cho phép lưu trữ và chuyển đổi linh hoạt giữa nhiều chuẩn điểm: hệ điểm 10, hệ điểm 6, hệ điểm chữ (A, B, C...), hoặc định tính Đạt/Chưa đạt để hệ thống chạy ổn định cho các chương trình đào tạo khác nhau.</t>
  </si>
  <si>
    <t>4.3. Triển khai</t>
  </si>
  <si>
    <t>- Ứng dụng phải hỗ trợ đóng gói bằng Docker và triển khai dễ dàng lên các nền tảng đám mây (như Railway hoặc Render).</t>
  </si>
  <si>
    <t>4.4. Giới hạn chi phí và tối ưu LLM</t>
  </si>
  <si>
    <t>- Áp dụng **cơ chế Cache Prompt** (lưu trữ tạm thời System Prompts, cấu trúc DB, và nội dung giáo trình mẫu) cho các API truy vấn LLM để tối ưu hóa chi phí token đầu vào (giảm 50-80% lượng token lặp lại) và tăng tốc phản hồi.</t>
  </si>
  <si>
    <t xml:space="preserve">Tài liệu Đặc tả Yêu cầu Rút gọn (MINI-SRS) </t>
  </si>
  <si>
    <t>1. Giới thiệu dự án</t>
  </si>
  <si>
    <t>Hệ thống VSF Student Risk Alert (VSF SRA) là một giải pháp AI Agent kết hợp Phân tích học thuật (Learning Analytics) hỗ trợ Ban Giám Hiệu và Giáo viên các trường phổ thông (K-12) phát hiện sớm các nguy cơ học thuật/sư phạm của học sinh. Khác với các hệ thống quản lý điểm số tĩnh truyền thống, VSF SRA áp dụng các thuật toán phân tích học máy và thống kê nâng cao từ dữ liệu điểm số, chuyên cần và hành vi rèn luyện nhằm đưa ra cảnh báo kịp thời và đề xuất giải pháp phụ đạo sư phạm nhân văn, tích cực.</t>
  </si>
  <si>
    <t>2. Đối tượng sử dụng (User Roles)</t>
  </si>
  <si>
    <t>Hệ thống xác định rõ 3 đối tượng người dùng chính tham gia vận hành và khai thác:
- **Ban Giám Hiệu (PRINCIPAL):**
  - Xem các báo cáo trực quan và dashboard vĩ mô toàn trường (read-only đối với dữ liệu điểm số).
  - Tương tác với trợ lý AI bằng câu hỏi tiếng Việt để truy xuất dữ liệu tổng hợp.
- **Giáo viên (CHỦ NHIỆM / BỘ MÔN):**
  - Xem danh sách cảnh báo học sinh có nguy cơ thuộc lớp chủ nhiệm hoặc các môn học mình giảng dạy.
  - Nhập, chỉnh sửa điểm số học sinh thuộc lớp/môn học được phân công.
  - Tải lên đề thi, giáo trình học tập của môn học để AI hỗ trợ phân tích ma trận kiến thức và độ khó.
- **Admin Hệ thống (SYSTEM ADMIN):**
  - Giám sát kỹ thuật toàn bộ hệ thống.
  - Theo dõi metrics vận hành của hệ thống (đo lường độ trễ phản hồi, độ chính xác của AI Agent, thống kê đánh giá/phản hồi chất lượng từ người dùng cuối) thông qua giao diện quản trị `/admin/ai-metrics`.</t>
  </si>
  <si>
    <t>3. Mô hình Dữ liệu linh hoạt (Flexible Grading Model)</t>
  </si>
  <si>
    <t>Để đảm bảo khả năng mở rộng cho nhiều trường học với các quy chế đánh giá khác nhau, hệ thống được thiết kế phi cứng nhắc (polymorphic):
- **Hỗ trợ đa trường/cơ sở (Multi-school/Multi-campus):** Cách ly dữ liệu theo từng trường thông qua cơ chế chèn tự động điều kiện `school_id`.
- **Hỗ trợ nhiều thang điểm và chuẩn đánh giá học thuật:**
  - *Thang điểm số:* Hệ 10 (Thông tư 22/2021/TT-BGDĐT kết hợp điểm số và nhận xét), Hệ 6 (quy chuẩn quốc tế), hoặc các hệ điểm số khác.
  - *Thang điểm chữ:* Hệ chữ A, B, C, D, F... dành cho các chương trình đào tạo quốc tế hoặc song ngữ.
  - *Đánh giá định tính:* Thang đánh giá Đạt (Pass) / Chưa đạt (Fail) dành cho các môn thể chất, nghệ thuật, trải nghiệm hướng nghiệp.
- **Ánh xạ thang điểm quy chuẩn:** Cơ chế tự động chuẩn hóa các hệ điểm về phân phối chuẩn chuẩn hóa ($Z$-score) để phục vụ các thuật toán phân tích nâng cao một cách nhất quán.</t>
  </si>
  <si>
    <t>4. Kiến trúc Hệ thống &amp; Yêu cầu Chức năng (Functional Requirements)</t>
  </si>
  <si>
    <t>Module 1: Text-to-Query (Hỏi đáp dữ liệu học tập)</t>
  </si>
  <si>
    <t>- **Chức năng:** Cho phép Ban Giám Hiệu nhập câu hỏi bằng ngôn ngữ tự nhiên tiếng Việt (Ví dụ: *"Lớp 10A1 học kỳ 1 có bao nhiêu học sinh có nguy cơ trượt môn Toán?"*) và tự động dịch thành câu lệnh truy vấn dữ liệu (SQL cho PostgreSQL hoặc Pandas Query).
- **Rào chắn an ninh (Guardrails):**
  - Sử dụng AST parser (`SQLGlot`) để quét và chặn toàn bộ các câu lệnh gây thay đổi dữ liệu (`INSERT`, `UPDATE`, `DELETE`, `DROP`, `ALTER`).
  - Chỉ cho phép các lệnh `SELECT` thuộc danh sách bảng được phân quyền (whitelist).
  - Tự động bắt buộc thêm điều kiện lọc `school_id` tương ứng với quyền truy cập của người dùng để tránh rò rỉ dữ liệu chéo giữa các trường học.</t>
  </si>
  <si>
    <t>Module 2: Multi-Agent System (Hệ thống đa tác tử)</t>
  </si>
  <si>
    <t>- **Kiến trúc:** Đồ thị trạng thái tuần hoàn (StateGraph) trên LangGraph dưới sự điều phối của một **Supervisor Agent** (Tác tử giám sát) phân phối nhiệm vụ cho các tác tử chuyên biệt:
  - *Data Agent:* Phụ trách tra cứu, kiểm toán và hiển thị dữ liệu học sinh, lớp học, điểm số thô.
  - *Stat Agent:* Tính toán các chỉ số thống kê toán học sư phạm nâng cao.
  - *Report Agent:* Tổng hợp kết quả, kết xuất các biểu đồ trực quan và sinh báo cáo tự động (PDF/Word).
  - *Prediction Agent:* Dự báo xu hướng học lực và đánh giá nguy cơ học thuật.
- **Phân quyền dữ liệu cho Data Agent:** 
  - Data Agent tuân thủ nghiêm ngặt cơ chế phân quyền RBAC của hệ thống (ADMIN/PRINCIPAL/GRADE_HEAD/HOMEROOM/SUBJECT_TEACHER/SUBJECT_HEAD).
  - Data Agent chỉ được phép truy vấn dữ liệu thông qua Token xác thực của người dùng hiện tại, tự động giới hạn phạm vi truy xuất (ví dụ: GV bộ môn chỉ được phép đọc điểm của học sinh thuộc các lớp mình trực tiếp giảng dạy).</t>
  </si>
  <si>
    <t>Module 3: RAG + LLM (Phân tích Đề thi và Giáo trình)</t>
  </si>
  <si>
    <t>- **Quy trình luồng xử lý RAG (RAG Ingestion &amp; Query Flow):**
  1. Ban Giám Hiệu hoặc Giáo viên tải lên các tài liệu nền tảng (sách giáo khoa, giáo trình môn học, đề cương ôn tập mẫu) dưới dạng file PDF hoặc hình ảnh.
  2. Hệ thống kích hoạt module OCR để bóc tách văn bản thô, dọn dẹp dữ liệu nhiễu, chia nhỏ văn bản (chunking), tạo vector nhúng (embedding).
  3. Các vector này được lưu trữ tập trung vào **Qdrant Vector Database**.
  4. Khi giáo viên tải một đề thi mới lên để kiểm định, hệ thống thực thi OCR đề thi đó và truy vấn Vector DB Qdrant để so khớp, đối chiếu với tri thức giáo trình, xếp loại Bloom các câu hỏi và chấm chỉ số độ khó đề thi (CDI - Content Difficulty Index).
- **Quy định Giới hạn Tài liệu Tải lên (Rate Limiting &amp; File Constraints):**
  - Định dạng file được hỗ trợ: `.pdf`, `.png`, `.jpg`, `.jpeg`.
  - Giới hạn dung lượng: Tối đa 25MB đối với file PDF và tối đa 10MB đối với file hình ảnh.</t>
  </si>
  <si>
    <t>Module 4: OCR (Optical Character Recognition)</t>
  </si>
  <si>
    <t>- **Chức năng:** Trích xuất văn bản từ hình ảnh và PDF scan, được tích hợp trong hai pipeline:
  - *Pipeline Ingestion (Xử lý giáo trình):* Số hóa giáo trình học tập phục vụ nạp tri thức Vector DB phục vụ RAG.
  - *Pipeline Exam Analysis (Xử lý đề thi):* Số hóa đề kiểm tra do giáo viên tải lên để làm đầu vào so khớp và phân loại Bloom.</t>
  </si>
  <si>
    <t>5. Các Thuật toán Phân tích Học thuật (Academic Algorithms)</t>
  </si>
  <si>
    <t>Hệ thống thu thập và phân tích **6 nhóm yếu tố đầu vào (Input Features)** từ cơ sở dữ liệu làm biến số dự báo:
1. **Điểm số:** Lịch sử điểm số từ học bạ và sổ điểm (`fact_gradebooks`, `fact_subject_academic_records`).
2. **Mức độ hoàn thành bài tập / LMS:** Tỷ lệ nộp bài và điểm số các bài tập tự học (`fact_so_assignment_grade`).
3. **Chuyên cần:** Tỷ lệ nghỉ học có phép/không phép, đi muộn học đường (`fact_absent_logs`, `fact_so_daily_attendance`).
4. **Hành vi rèn luyện:** Ghi nhận điểm rèn luyện, vi phạm kỷ luật hoặc hồ sơ chăm sóc đặc biệt (`fact_behavior_logs`).
5. **Khảo sát học sinh:** Mức độ hài lòng của học sinh đối với môi trường học tập.
6. **Biến cố gia đình:** Các thông tin đột xuất về hoàn cảnh gia đình tác động đến tâm lý học sinh.</t>
  </si>
  <si>
    <t>&gt; [!NOTE]
&gt; **Lưu ý quan trọng:** Các mô hình toán và học máy dưới đây hiện chỉ mang tính chất **dự thảo đề xuất (proposed drafts)**, chưa được xác nhận chính thức sẽ sử dụng trong bài toán thực tế. Các tham số, trọng số hoặc mô hình có thể được thêm bớt hoặc thay đổi linh hoạt tùy thuộc vào mức độ đầy đủ của dữ liệu thu thập được để tránh phát sinh khối lượng công việc dư thừa. Các công thức toán học chi tiết hiện được ẩn đi để phục vụ việc thống nhất sau này.</t>
  </si>
  <si>
    <t>5.1. Dự báo nguy cơ học thuật sớm ($P(Fail)$)</t>
  </si>
  <si>
    <t>Dự báo xác suất trượt môn hoặc sa sút học tập nghiêm trọng của học sinh trước khi diễn ra các kỳ thi lớn (ví dụ trước thi học kỳ) dựa trên dữ liệu điểm số thường xuyên, lịch sử học tập và chuyên cần nhằm giúp giáo viên kịp thời can thiệp sư phạm. Nếu xác suất dự báo vượt ngưỡng quy định ($\ge 0.7$), hệ thống sẽ tự động gắn cờ Đỏ (nguy cơ cao) trên Dashboard.</t>
  </si>
  <si>
    <t>5.2. Phân cụm Học sinh đa chiều bằng NMF (Non-negative Matrix Factorization)</t>
  </si>
  <si>
    <t>Phân cụm đa chiều bằng cách phân tích và phân rã ma trận đặc trưng hợp nhất bao gồm: **Ma trận điểm số + Ma trận hành vi rèn luyện + Ma trận tác động ngoại cảnh** của học sinh. Thuật toán phân tách học sinh thành 4 cụm mô thức học tập thực tế: Consistent Achievers (Ổn định), Procrastinators (Trì hoãn bứt phá), High-effort Low-performance (Chăm chỉ nhưng thi kém), và High-risk Learners (Sa sút liên tục).</t>
  </si>
  <si>
    <t>5.3. Mô hình dự báo học lực cơ bản (Trend/Regression hoặc LLM-based forecasting)</t>
  </si>
  <si>
    <t>- **Phương pháp thống kê/hồi quy (Trend/Regression):** Sử dụng hồi quy tuyến tính trên chuỗi điểm trung bình theo thời gian để tính toán hệ số góc (độ dốc) đo xu hướng tiến bộ (hệ số dương) hoặc sa sút học lực (hệ số âm).
- **Phương pháp AI (LLM-based forecasting):** Sử dụng Large Language Model (LLM) để tổng hợp các đặc trưng định tính (hành vi rèn luyện, chuyên cần, biến cố gia đình) kết hợp với chuỗi điểm số lịch sử nhằm sinh ra các nhận định dự báo xu hướng học lực của học kỳ tiếp theo.</t>
  </si>
  <si>
    <t>6. Yêu cầu Phi chức năng (Non-Functional Requirements)</t>
  </si>
  <si>
    <t>- **Bảo mật dữ liệu:** 
  - Mã hóa 100% các API giao tiếp bằng JWT Token.
  - Phân tách và cách ly dữ liệu đa trường tuyệt đối ở tầng CSDL bằng tham số `school_id`.
- **Giới hạn chi phí và tối ưu LLM:**
  - Áp dụng **cơ chế Cache Prompt** (lưu trữ tạm thời System Prompts, cấu trúc DB, và nội dung giáo trình mẫu) cho các API truy vấn LLM. Cơ chế này giúp tối ưu hóa chi phí token đầu vào (giảm tới 50-80% chi phí token lặp lại) và tăng tốc độ xử lý các câu hỏi liên tiếp của người dùng.</t>
  </si>
  <si>
    <t>PROJECT CHARTER — AI20K-075 | Nhóm 051</t>
  </si>
  <si>
    <t>1. Thông tin dự án</t>
  </si>
  <si>
    <t>Người lập</t>
  </si>
  <si>
    <t>Thực tập sinh SRA</t>
  </si>
  <si>
    <t>Ngày lập</t>
  </si>
  <si>
    <t>16/07/2026</t>
  </si>
  <si>
    <t>Phiên bản</t>
  </si>
  <si>
    <t>1.0</t>
  </si>
  <si>
    <t>2. Lý do thực hiện &amp; Mục tiêu</t>
  </si>
  <si>
    <t>Vấn đề đang gặp</t>
  </si>
  <si>
    <t>Dữ liệu học tập (điểm số, chuyên cần, hành vi, LMS) của học sinh K-12 bị phân tán, rời rạc, gây khó khăn cho việc phát hiện sớm học sinh sa sút học lực hoặc gặp khó khăn học thuật/kỷ luật để can thiệp sư phạm kịp thời.</t>
  </si>
  <si>
    <t>Giải pháp đề xuất</t>
  </si>
  <si>
    <t>Xây dựng hệ thống cảnh báo sớm học sinh có nguy cơ dựa trên dữ liệu School Online Schema. Backend sử dụng mô hình Đa tác tử (Multi-Agent) trên LangGraph, Frontend hiển thị bản đồ nhiệt rủi ro học tập, phân cụm năng lực học tập đa chiều, chỉ báo P(Fail) trước thi, tích hợp OCR/RAG.</t>
  </si>
  <si>
    <t>Mục tiêu SMART (7 tuần)</t>
  </si>
  <si>
    <t>Trong 7 tuần (16/07 - 27/08/2026), hoàn thiện hệ thống VSF SRA tích hợp đầy đủ 4 module cốt lõi (Text-to-Query bảo mật bằng SQLGlot, Multi-Agent LangGraph phân tích sâu, RAG đối chiếu đề thi với Qdrant Vector DB, và OCR), độ chính xác Text-to-Query &gt;= 85%, chạy online ổn định.</t>
  </si>
  <si>
    <t>3. Phạm vi dự án</t>
  </si>
  <si>
    <t>#</t>
  </si>
  <si>
    <t>Trong phạm vi (In-scope)</t>
  </si>
  <si>
    <t>Ngoài phạm vi (Out-of-scope)</t>
  </si>
  <si>
    <t>1. Đồng bộ cấu trúc dữ liệu School Online Schema linh hoạt nhiều thang điểm.
2. Module Text-to-Query hỏi đáp tự nhiên tiếng Việt cho BGH bảo mật qua SQLGlot.
3. Module Multi-Agent System điều phối các tác tử (Data, Stat, Report, Prediction).
4. Mô hình dự báo nguy cơ học thuật sớm trước thi P(Fail), phân cụm học sinh đa chiều NMF (Grades + Behavior + External factors), và hồi quy xu hướng học lực.
5. Module RAG + LLM so khớp đề thi với giáo trình trong Qdrant Vector DB.
6. OCR số hóa giáo trình (Ingestion pipeline) và bóc tách đề thi (Exam Analysis pipeline).
7. Bảo mật RBAC 3 vai trò (BGH, Giáo viên, Admin Hệ thống) và Cache Prompt tối ưu chi phí LLM.</t>
  </si>
  <si>
    <t>1. BGH sửa đổi trực tiếp điểm số (BGH chỉ có quyền read-only).
2. Chatbot trả lời tự do ngoài phạm vi nghiệp vụ sư phạm/học vụ.
3. Tự động đánh giá nhân cách/nhãn mác tiêu cực cho học sinh.
4. Tự động gửi cảnh báo rủi ro học thuật ra bên ngoài mà không qua sự phê duyệt của GV (Human-in-the-loop).</t>
  </si>
  <si>
    <t>4. Đối tác liên quan (Stakeholders)</t>
  </si>
  <si>
    <t>Vai trò</t>
  </si>
  <si>
    <t>Họ tên / Đơn vị</t>
  </si>
  <si>
    <t>Mức ảnh hưởng</t>
  </si>
  <si>
    <t>Trách nhiệm</t>
  </si>
  <si>
    <t>Sponsor / Đối tác</t>
  </si>
  <si>
    <t>Quỹ VSF (Vietnam Sustainability Forum)</t>
  </si>
  <si>
    <t>Cao</t>
  </si>
  <si>
    <t>Đặt bài toán, cung cấp bối cảnh nghiệp vụ, định hướng bài toán, đánh giá sản phẩm qua các buổi Demo định kỳ.</t>
  </si>
  <si>
    <t>Khách hàng / Người dùng</t>
  </si>
  <si>
    <t>Ban Giám Hiệu &amp; Giáo viên các trường K-12</t>
  </si>
  <si>
    <t>Cung cấp yêu cầu nghiệp vụ thực tế, tham gia kiểm thử UAT và đưa ra phản hồi cải tiến.</t>
  </si>
  <si>
    <t>Thực tập sinh</t>
  </si>
  <si>
    <t>Thiết kế kiến trúc, phát triển backend, frontend, tích hợp các mô hình AI và thực hiện kiểm thử.</t>
  </si>
  <si>
    <t>Mentor</t>
  </si>
  <si>
    <t>Nguyễn Thịnh</t>
  </si>
  <si>
    <t>Hướng dẫn chuyên môn, đánh giá tài liệu mini-SRS, review code và kiến trúc hệ thống.</t>
  </si>
  <si>
    <t>5. Cột mốc chính (Milestones)</t>
  </si>
  <si>
    <t>Mã</t>
  </si>
  <si>
    <t>Mốc quan trọng</t>
  </si>
  <si>
    <t>Mô tả chi tiết</t>
  </si>
  <si>
    <t>Từ ngày</t>
  </si>
  <si>
    <t>Đến ngày</t>
  </si>
  <si>
    <t>Người chịu trách nhiệm</t>
  </si>
  <si>
    <t>Kết quả giao nộp</t>
  </si>
  <si>
    <t>M1</t>
  </si>
  <si>
    <t>Hoàn thành Onboarding &amp; Kế hoạch</t>
  </si>
  <si>
    <t>Chốt mục tiêu, phạm vi dự án, mini-SRS &amp; kế hoạch sprint 7 tuần</t>
  </si>
  <si>
    <t>18/07/2026</t>
  </si>
  <si>
    <t>Hoàn thành</t>
  </si>
  <si>
    <t>mini-SRS, prd, sprint plan</t>
  </si>
  <si>
    <t>M2</t>
  </si>
  <si>
    <t>Setup môi trường &amp; ERD</t>
  </si>
  <si>
    <t>Setup repo, docker dev env, thiết kế ERD, DB PostgreSQL và dữ liệu giả lập</t>
  </si>
  <si>
    <t>20/07/2026</t>
  </si>
  <si>
    <t>24/07/2026</t>
  </si>
  <si>
    <t>Chưa bắt đầu</t>
  </si>
  <si>
    <t>Sơ đồ ERD, seed script dữ liệu mock, Dockerfile/compose</t>
  </si>
  <si>
    <t>M3</t>
  </si>
  <si>
    <t>Demo 1 — Text-to-Query</t>
  </si>
  <si>
    <t>Xây dựng pipeline NL-to-SQL tiếng Việt, tích hợp SQLGlot bảo mật, REST API</t>
  </si>
  <si>
    <t>27/07/2026</t>
  </si>
  <si>
    <t>31/07/2026</t>
  </si>
  <si>
    <t>REST API Text-to-Query, API docs, unit tests</t>
  </si>
  <si>
    <t>M4</t>
  </si>
  <si>
    <t>Nghiên cứu mô hình dự báo</t>
  </si>
  <si>
    <t>Liệt kê các yếu tố tác động, lập trình tính toán chỉ số, tích hợp cờ cảnh báo sớm</t>
  </si>
  <si>
    <t>03/08/2026</t>
  </si>
  <si>
    <t>07/08/2026</t>
  </si>
  <si>
    <t>Báo cáo phân tích yếu tố tác động, tài liệu đề xuất tham số</t>
  </si>
  <si>
    <t>M5</t>
  </si>
  <si>
    <t>Demo 2 — Multi-Agent</t>
  </si>
  <si>
    <t>Phát triển multi-agent LangGraph (Supervisor, Data, Stat, Report, Prediction)</t>
  </si>
  <si>
    <t>10/08/2026</t>
  </si>
  <si>
    <t>14/08/2026</t>
  </si>
  <si>
    <t>Multi-agent pipeline demo, Report generator hoạt động</t>
  </si>
  <si>
    <t>M6</t>
  </si>
  <si>
    <t>Demo 3 — RAG &amp; OCR</t>
  </si>
  <si>
    <t>Pipeline RAG lưu Vector DB Qdrant, OCR bóc tách đề thi/giáo trình, so khớp đề thi</t>
  </si>
  <si>
    <t>17/08/2026</t>
  </si>
  <si>
    <t>21/08/2026</t>
  </si>
  <si>
    <t>RAG &amp; OCR pipeline demo, Qdrant setup script, API phân tích đề thi</t>
  </si>
  <si>
    <t>M7</t>
  </si>
  <si>
    <t>Sản phẩm hoàn chỉnh &amp; Bàn giao</t>
  </si>
  <si>
    <t>UAT toàn diện, sửa lỗi, Dashboard cho BGH/GV, tài liệu hướng dẫn kỹ thuật, demo cuối kỳ</t>
  </si>
  <si>
    <t>24/08/2026</t>
  </si>
  <si>
    <t>27/08/2026</t>
  </si>
  <si>
    <t>Toàn bộ source code, Dashboard UI/UX chạy thật, tài liệu HDSD, biên bản bàn giao</t>
  </si>
  <si>
    <t>6. Nguồn lực &amp; Ngân sách</t>
  </si>
  <si>
    <t>Nhân sự</t>
  </si>
  <si>
    <t>2 người × ~40 giờ/tuần = ~80 giờ/tuần (cả hai vai trò Fullstack)</t>
  </si>
  <si>
    <t>Công cụ (miễn phí)</t>
  </si>
  <si>
    <t>GitHub + GitHub Actions (CI), Neon (PostgreSQL), Railway (deploy), Vercel, Discord, Google Drive, OpenAI gpt-4o-mini, LangGraph/LangChain</t>
  </si>
  <si>
    <t>Công cụ (cần duyệt chi phí)</t>
  </si>
  <si>
    <t>Chi phí gọi LLM API (gpt-4o-mini) — hiện trong hạn mức miễn phí/thấp</t>
  </si>
  <si>
    <t>Tổng ngân sách dự kiến</t>
  </si>
  <si>
    <t>≈ 0đ (sử dụng gói miễn phí/giáo dục cho hạ tầng &amp; API)</t>
  </si>
  <si>
    <t>7. Rủi ro chính &amp; Cách xử lý</t>
  </si>
  <si>
    <t>Rủi ro</t>
  </si>
  <si>
    <t>Xác suất</t>
  </si>
  <si>
    <t>Tác động</t>
  </si>
  <si>
    <t>Cách phòng tránh / Xử lý</t>
  </si>
  <si>
    <t>1</t>
  </si>
  <si>
    <t>Text-to-SQL sinh SQL sai / LLM ảo tưởng số liệu</t>
  </si>
  <si>
    <t>Trung bình</t>
  </si>
  <si>
    <t>Guardrail SQLGlot: chỉ SELECT, whitelist 21 bảng, chèn school_id; LLM chỉ tổng hợp số liệu thô từ DB, không tự tính.</t>
  </si>
  <si>
    <t>2</t>
  </si>
  <si>
    <t>Rò rỉ dữ liệu chéo giữa các trường (multi-tenant)</t>
  </si>
  <si>
    <t>Cô lập theo school_id qua ContextVar; RLS theo role; luôn set/reset context ở /chat.</t>
  </si>
  <si>
    <t>3</t>
  </si>
  <si>
    <t>RAG (Vector Store) chưa kịp triển khai trong MVP</t>
  </si>
  <si>
    <t>Đã có config chroma_persist_dir; coi RAG là tính năng mở rộng sau MVP, không chặn luồng chính.</t>
  </si>
  <si>
    <t>4</t>
  </si>
  <si>
    <t>Frontend nối API thật trễ (đang dùng mock)</t>
  </si>
  <si>
    <t>Ưu tiên Sprint 5: login lưu JWT, trang /scores &amp; dashboard nối API; xử lý 401/403 theo role.</t>
  </si>
  <si>
    <t>5</t>
  </si>
  <si>
    <t>Bảo mật JWT / lộ secret</t>
  </si>
  <si>
    <t>Thấp</t>
  </si>
  <si>
    <t>Bắt buộc JWT_SECRET_KEY ≥32 byte ở prod; .env gitignore; bcrypt cho mật khẩu.</t>
  </si>
  <si>
    <t>8. Tiêu chí thành công</t>
  </si>
  <si>
    <t>Tiêu chí</t>
  </si>
  <si>
    <t>Trọng số</t>
  </si>
  <si>
    <t>Cách đo lường</t>
  </si>
  <si>
    <t>Sản phẩm V1 chạy được với dữ liệu thật</t>
  </si>
  <si>
    <t>40%</t>
  </si>
  <si>
    <t>Live trên production (Railway), đối tác dùng được, không crash</t>
  </si>
  <si>
    <t>Mức hài lòng của đối tác (VinGroup)</t>
  </si>
  <si>
    <t>25%</t>
  </si>
  <si>
    <t>Điểm đánh giá sau Demo 2 (thang 1–10)</t>
  </si>
  <si>
    <t>Chất lượng code &amp; tài liệu</t>
  </si>
  <si>
    <t>20%</t>
  </si>
  <si>
    <t>Ruff + pytest xanh (CI), README, sơ đồ kiến trúc, API docs /docs</t>
  </si>
  <si>
    <t>Làm việc nhóm &amp; Trách nhiệm</t>
  </si>
  <si>
    <t>15%</t>
  </si>
  <si>
    <t>Standup đều, báo cáo đúng hạn, phân việc rõ ràng, PR review</t>
  </si>
  <si>
    <t>9. Phê duyệt</t>
  </si>
  <si>
    <t>Họ tên</t>
  </si>
  <si>
    <t>Ngày</t>
  </si>
  <si>
    <t>Chữ ký / Xác nhận</t>
  </si>
  <si>
    <t>Team Lead</t>
  </si>
  <si>
    <t>26/06/2026</t>
  </si>
  <si>
    <t>[DD/MM/YYYY]</t>
  </si>
  <si>
    <t>Đối tác</t>
  </si>
  <si>
    <t>VinGroup</t>
  </si>
  <si>
    <t>BACKLOG — DANH SÁCH CÔNG VIỆC THEO SPRINT</t>
  </si>
  <si>
    <t>Mã việc</t>
  </si>
  <si>
    <t>Tên công việc</t>
  </si>
  <si>
    <t>Mã US</t>
  </si>
  <si>
    <t>Người phụ trách</t>
  </si>
  <si>
    <t>Hạn chót</t>
  </si>
  <si>
    <t>Sprint 1 — Tuần 0: Khởi động, thống nhất phạm vi, mini-SRS &amp; thiết kế kiến trúc</t>
  </si>
  <si>
    <t>T-001</t>
  </si>
  <si>
    <t>Đánh giá kiến trúc hệ thống cũ</t>
  </si>
  <si>
    <t>US-007</t>
  </si>
  <si>
    <t>Đánh giá dự án VinUni cũ để tái sử dụng Auth/RBAC phù hợp</t>
  </si>
  <si>
    <t>17/07/2026</t>
  </si>
  <si>
    <t>Tái sử dụng JWT/Auth</t>
  </si>
  <si>
    <t>T-002</t>
  </si>
  <si>
    <t>Thiết kế sơ đồ kiến trúc hệ thống mới</t>
  </si>
  <si>
    <t>Vẽ sơ đồ kiến trúc 4 module: Text-to-Query, Multi-Agent, RAG, OCR</t>
  </si>
  <si>
    <t>Sơ đồ kiến trúc mới</t>
  </si>
  <si>
    <t>T-003</t>
  </si>
  <si>
    <t>Viết tài liệu đặc tả mini-SRS &amp; PRD</t>
  </si>
  <si>
    <t>Hoàn thiện tài liệu mini-SRS, PRD và kế hoạch sprint chi tiết</t>
  </si>
  <si>
    <t>Mentor đã duyệt</t>
  </si>
  <si>
    <t>Sprint 2 — Tuần 1: Thiết lập môi trường &amp; ERD dữ liệu giả</t>
  </si>
  <si>
    <t>T-004</t>
  </si>
  <si>
    <t>Thiết kế ERD &amp; Schema cơ sở dữ liệu</t>
  </si>
  <si>
    <t>US-001</t>
  </si>
  <si>
    <t>Thiết kế ERD hỗ trợ linh hoạt thang điểm (Grading Scale Polymorphism)</t>
  </si>
  <si>
    <t>22/07/2026</t>
  </si>
  <si>
    <t>Hỗ trợ hệ 10, chữ, đạt/chưa đạt</t>
  </si>
  <si>
    <t>T-005</t>
  </si>
  <si>
    <t>Setup repo, Docker dev env &amp; CI/CD</t>
  </si>
  <si>
    <t>Thiết lập GitHub repository, CI cơ bản và môi trường ảo phát triển</t>
  </si>
  <si>
    <t>23/07/2026</t>
  </si>
  <si>
    <t>Python 3.11+, Docker</t>
  </si>
  <si>
    <t>T-006</t>
  </si>
  <si>
    <t>Setup database PostgreSQL &amp; Dữ liệu giả lập</t>
  </si>
  <si>
    <t>Tạo DB và seed script sinh dữ liệu giả lập (synthetic) cho THCS</t>
  </si>
  <si>
    <t>Hỗ trợ chạy thử Text-to-Query</t>
  </si>
  <si>
    <t>T-007</t>
  </si>
  <si>
    <t>Thiết lập LLM provider &amp; Multi-Agent framework</t>
  </si>
  <si>
    <t>Chọn LLM provider (gpt-4o-mini) và setup LangGraph</t>
  </si>
  <si>
    <t>Thiết lập config credentials</t>
  </si>
  <si>
    <t>Sprint 3 — Tuần 2: Module Text-to-Query (NL-to-Query)</t>
  </si>
  <si>
    <t>T-008</t>
  </si>
  <si>
    <t>Phát triển pipeline NL-to-SQL bằng LLM</t>
  </si>
  <si>
    <t>Xây dựng pipeline dịch câu hỏi tiếng Việt thành SQL query</t>
  </si>
  <si>
    <t>28/07/2026</t>
  </si>
  <si>
    <t>Sử dụng LangChain/LangGraph</t>
  </si>
  <si>
    <t>T-009</t>
  </si>
  <si>
    <t>Tích hợp bộ kiểm tra bảo mật SQLGlot</t>
  </si>
  <si>
    <t>AST parser chặn INSERT/UPDATE/DELETE và chèn school_id tự động</t>
  </si>
  <si>
    <t>29/07/2026</t>
  </si>
  <si>
    <t>Lớp bảo mật an toàn DB</t>
  </si>
  <si>
    <t>T-010</t>
  </si>
  <si>
    <t>Xây dựng API endpoints &amp; bộ test-case câu hỏi mẫu</t>
  </si>
  <si>
    <t>REST API /chat cho Text-to-Query và bộ câu hỏi mẫu kiểm thử</t>
  </si>
  <si>
    <t>API Documentation, độ chính xác &gt;=85%</t>
  </si>
  <si>
    <t>Sprint 4 — Tuần 3: Phân tích các yếu tố tác động</t>
  </si>
  <si>
    <t>T-011</t>
  </si>
  <si>
    <t>Nghiên cứu &amp; Phân tích các yếu tố tác động</t>
  </si>
  <si>
    <t>US-002</t>
  </si>
  <si>
    <t>Xác định mức độ ảnh hưởng của 6 nhóm yếu tố đầu vào đến học lực</t>
  </si>
  <si>
    <t>04/08/2026</t>
  </si>
  <si>
    <t>Điểm, LMS, chuyên cần, hành vi...</t>
  </si>
  <si>
    <t>T-012</t>
  </si>
  <si>
    <t>Lập trình thuật toán tính chỉ số &amp; dự báo trước kỳ thi</t>
  </si>
  <si>
    <t>Cài đặt logic dự báo xác suất trượt môn P(Fail) trước kỳ thi lớn</t>
  </si>
  <si>
    <t>06/08/2026</t>
  </si>
  <si>
    <t>Dự báo sớm để can thiệp</t>
  </si>
  <si>
    <t>T-013</t>
  </si>
  <si>
    <t>Thiết kế cơ chế gắn cờ cảnh báo sớm vào DB</t>
  </si>
  <si>
    <t>Tự động cập nhật cờ rủi ro (Đỏ/Vàng/Xanh) cho học sinh</t>
  </si>
  <si>
    <t>Lưu trữ kết quả phân tích trong DB</t>
  </si>
  <si>
    <t>Sprint 5 — Tuần 4: Module Multi-Agent &amp; Dự báo học lực</t>
  </si>
  <si>
    <t>T-014</t>
  </si>
  <si>
    <t>Thiết kế &amp; Phát triển multi-agent LangGraph</t>
  </si>
  <si>
    <t>US-003</t>
  </si>
  <si>
    <t>Xây dựng Supervisor Agent và 4 sub-agents (Data, Stat, Report, Prediction)</t>
  </si>
  <si>
    <t>11/08/2026</t>
  </si>
  <si>
    <t>LangGraph StateGraph</t>
  </si>
  <si>
    <t>T-015</t>
  </si>
  <si>
    <t>Lập trình các thuật toán phân tích chuyên sâu</t>
  </si>
  <si>
    <t>Triển khai phân cụm NMF đa chiều và hồi quy xu hướng học lực</t>
  </si>
  <si>
    <t>12/08/2026</t>
  </si>
  <si>
    <t>Phân cụm 3 ma trận kết hợp</t>
  </si>
  <si>
    <t>T-016</t>
  </si>
  <si>
    <t>Phát triển Report Generator tự động sinh báo cáo</t>
  </si>
  <si>
    <t>Tự động sinh báo cáo sư phạm markdown và xuất định dạng PDF/Word</t>
  </si>
  <si>
    <t>13/08/2026</t>
  </si>
  <si>
    <t>Báo cáo chi tiết cho BGH/GV</t>
  </si>
  <si>
    <t>Sprint 6 — Tuần 5: Module RAG + LLM &amp; OCR</t>
  </si>
  <si>
    <t>T-017</t>
  </si>
  <si>
    <t>Thiết lập Qdrant Vector DB &amp; Pipeline RAG</t>
  </si>
  <si>
    <t>US-005</t>
  </si>
  <si>
    <t>Chunking, embedding giáo trình môn học và nạp tri thức vào Qdrant</t>
  </si>
  <si>
    <t>18/08/2026</t>
  </si>
  <si>
    <t>Rate Limiting &amp; File Constraints (max 25MB)</t>
  </si>
  <si>
    <t>T-018</t>
  </si>
  <si>
    <t>Phát triển logic đối chiếu đề thi và xếp loại Bloom</t>
  </si>
  <si>
    <t>US-004</t>
  </si>
  <si>
    <t>Kết hợp RAG + LLM đánh giá đề thi và xuất chỉ số độ khó (CDI)</t>
  </si>
  <si>
    <t>20/08/2026</t>
  </si>
  <si>
    <t>So khớp kiến thức đề thi &amp; giáo trình</t>
  </si>
  <si>
    <t>T-019</t>
  </si>
  <si>
    <t>Triển khai module OCR bóc tách đề thi &amp; giáo trình</t>
  </si>
  <si>
    <t>US-006</t>
  </si>
  <si>
    <t>OCR số hóa tài liệu giáo trình và đề kiểm tra tải lên</t>
  </si>
  <si>
    <t>Hỗ trợ ảnh/PDF scan (max 10MB/25MB)</t>
  </si>
  <si>
    <t>Sprint 7 — Tuần 6: Kiểm thử toàn diện, UI Dashboard, Triển khai &amp; Bàn giao</t>
  </si>
  <si>
    <t>T-020</t>
  </si>
  <si>
    <t>Kiểm thử UAT toàn diện &amp; Sửa lỗi</t>
  </si>
  <si>
    <t>Chạy kiểm thử tích hợp, unit tests, UAT với dữ liệu giả lập</t>
  </si>
  <si>
    <t>25/08/2026</t>
  </si>
  <si>
    <t>Đối tác nghiệm thu sản phẩm</t>
  </si>
  <si>
    <t>T-021</t>
  </si>
  <si>
    <t>Tối ưu hóa chi phí LLM bằng Cache Prompt</t>
  </si>
  <si>
    <t>Tích hợp cơ chế cache prompt cho các API RAG và Text-to-Query</t>
  </si>
  <si>
    <t>26/08/2026</t>
  </si>
  <si>
    <t>Giảm chi phí token đầu vào</t>
  </si>
  <si>
    <t>T-022</t>
  </si>
  <si>
    <t>Triển khai ứng dụng (Railway/Docker) &amp; Bàn giao</t>
  </si>
  <si>
    <t>Đóng gói Docker, triển khai live, bàn giao source code &amp; tài liệu</t>
  </si>
  <si>
    <t>Demo cuối kỳ thành công</t>
  </si>
  <si>
    <t>THEO DÕI LỖI (BUG TRACKING)</t>
  </si>
  <si>
    <t>Báo cáo ngay khi phát hiện lỗi — Cập nhật trạng thái khi xử lý xong</t>
  </si>
  <si>
    <t>STT</t>
  </si>
  <si>
    <t>Mã lỗi</t>
  </si>
  <si>
    <t>Tiêu đề lỗi</t>
  </si>
  <si>
    <t>Cách tái hiện</t>
  </si>
  <si>
    <t>Ưu tiên</t>
  </si>
  <si>
    <t>Người xử lý</t>
  </si>
  <si>
    <t>Ngày sửa / Ghi chú</t>
  </si>
  <si>
    <t>BUG-001</t>
  </si>
  <si>
    <t>[Ví dụ: Chatbot không trả lời khi câu hỏi có dấu tiếng Việt]</t>
  </si>
  <si>
    <t>[Mô tả chi tiết hiện tượng]</t>
  </si>
  <si>
    <t>1. Mở /chat  2. Nhập câu hỏi có dấu  3. Quan sát phản hồi</t>
  </si>
  <si>
    <t>US-008</t>
  </si>
  <si>
    <t>[Họ tên]</t>
  </si>
  <si>
    <t>Đang sửa</t>
  </si>
  <si>
    <t>BUG-002</t>
  </si>
  <si>
    <t>BUG-003</t>
  </si>
  <si>
    <t>BUG-004</t>
  </si>
  <si>
    <t>BUG-005</t>
  </si>
  <si>
    <t>BUG-006</t>
  </si>
  <si>
    <t>BUG-007</t>
  </si>
  <si>
    <t>BUG-008</t>
  </si>
  <si>
    <t>BUG-009</t>
  </si>
  <si>
    <t>BUG-010</t>
  </si>
  <si>
    <t>BUG-011</t>
  </si>
  <si>
    <t>BUG-012</t>
  </si>
  <si>
    <t>BUG-013</t>
  </si>
  <si>
    <t>BUG-014</t>
  </si>
  <si>
    <t>BUG-015</t>
  </si>
  <si>
    <t>BUG-016</t>
  </si>
  <si>
    <t>BUG-017</t>
  </si>
  <si>
    <t>BUG-018</t>
  </si>
  <si>
    <t>BUG-019</t>
  </si>
  <si>
    <t>BUG-020</t>
  </si>
  <si>
    <t>THANG MỨC NGHIÊM TRỌNG</t>
  </si>
  <si>
    <t>Nghiêm trọng</t>
  </si>
  <si>
    <t>Ứng dụng sập hoặc mất dữ liệu — Không thể sử dụng được</t>
  </si>
  <si>
    <t>Tính năng chính không hoạt động đúng, ảnh hưởng nhiều người dùng</t>
  </si>
  <si>
    <t>Tính năng phụ bị lỗi, trải nghiệm không tốt nhưng vẫn dùng được</t>
  </si>
  <si>
    <t>Lỗi nhỏ, liên quan giao diện, không ảnh hưởng chức năng</t>
  </si>
  <si>
    <t>TẬP HỢP ĐƯỜNG LINK QUAN TRỌNG</t>
  </si>
  <si>
    <t>Lưu mọi đường link liên quan đến dự án — Cập nhật ngay khi có link mới</t>
  </si>
  <si>
    <t>Phân loại</t>
  </si>
  <si>
    <t>Nội dung / Mô tả</t>
  </si>
  <si>
    <t>Địa chỉ (URL)</t>
  </si>
  <si>
    <t>Người quản lý</t>
  </si>
  <si>
    <t>Mã nguồn và Triển khai</t>
  </si>
  <si>
    <t>Kho lưu mã nguồn (GitHub Repository)</t>
  </si>
  <si>
    <t>https://github.com/AI20K-Build-Cohort-2/C2-App-051</t>
  </si>
  <si>
    <t>Cả nhóm</t>
  </si>
  <si>
    <t>Địa chỉ sản phẩm (Production)</t>
  </si>
  <si>
    <t>https://c2-app-051.up.railway.app/</t>
  </si>
  <si>
    <t>Điệp</t>
  </si>
  <si>
    <t>Railway</t>
  </si>
  <si>
    <t>API Docs (FastAPI)</t>
  </si>
  <si>
    <t>https://c2-app-051.up.railway.app/docs</t>
  </si>
  <si>
    <t>Auto-docs</t>
  </si>
  <si>
    <t>Quy trình tự động (CI/CD)</t>
  </si>
  <si>
    <t>GitHub Actions (.github/workflows/ci.yml)</t>
  </si>
  <si>
    <t>ruff + pytest</t>
  </si>
  <si>
    <t>Tài liệu thiết kế</t>
  </si>
  <si>
    <t>PRD &amp; Kế hoạch triển khai</t>
  </si>
  <si>
    <t>docs/gate_1/ (PRD.md, KE_HOACH_TRIEN_KHAI…)</t>
  </si>
  <si>
    <t>Sơ đồ kiến trúc hệ thống</t>
  </si>
  <si>
    <t>docs/architecture_diagram.md, docs/gate_2/architecture.md</t>
  </si>
  <si>
    <t>Sơ đồ cơ sở dữ liệu (ERD)</t>
  </si>
  <si>
    <t>docs/schema.sql</t>
  </si>
  <si>
    <t>Khánh</t>
  </si>
  <si>
    <t>21 bảng</t>
  </si>
  <si>
    <t>UI mockup (vnEdu style)</t>
  </si>
  <si>
    <t>docs/gate_1/ui_gate_1.png</t>
  </si>
  <si>
    <t>Figma/PNG</t>
  </si>
  <si>
    <t>Liên lạc và Hợp tác</t>
  </si>
  <si>
    <t>Kênh Discord nhóm</t>
  </si>
  <si>
    <t>[Dán link]</t>
  </si>
  <si>
    <t>Ổ đĩa dùng chung (Google Drive)</t>
  </si>
  <si>
    <t>Thư mục AI20K</t>
  </si>
  <si>
    <t>DANH SÁCH USER STORY — AI20K-075</t>
  </si>
  <si>
    <t>Tên câu chuyện</t>
  </si>
  <si>
    <t>Mô tả ngắn</t>
  </si>
  <si>
    <t>Tôi muốn</t>
  </si>
  <si>
    <t>Để đạt được</t>
  </si>
  <si>
    <t>Hỏi đáp học vụ tự nhiên</t>
  </si>
  <si>
    <t>Hỏi đáp bằng tiếng Việt</t>
  </si>
  <si>
    <t>Ban Giám Hiệu</t>
  </si>
  <si>
    <t>Hỏi đáp bằng câu hỏi tiếng Việt tự nhiên về kết quả học tập của trường</t>
  </si>
  <si>
    <t>Nhận được thông tin số liệu và báo cáo truy vấn chính xác dưới sự bảo vệ của SQLGlot</t>
  </si>
  <si>
    <t>Bắt buộc</t>
  </si>
  <si>
    <t>Nhận diện học sinh nguy cơ</t>
  </si>
  <si>
    <t>Cảnh báo học sinh nguy cơ sớm</t>
  </si>
  <si>
    <t>Giáo viên</t>
  </si>
  <si>
    <t>Xem danh sách học sinh có nguy cơ cao (P(Fail) &gt;= 0.7) của lớp/môn mình dạy trước kỳ thi lớn</t>
  </si>
  <si>
    <t>Kịp thời đưa ra can thiệp sư phạm để hỗ trợ học sinh</t>
  </si>
  <si>
    <t>Phân cụm học sinh đa chiều</t>
  </si>
  <si>
    <t>Phân cụm học sinh NMF</t>
  </si>
  <si>
    <t>Xem phân loại học sinh thành 4 cụm mô thức dựa trên tổ hợp Điểm số + Hành vi + Tác động ngoại cảnh</t>
  </si>
  <si>
    <t>Đưa ra các phương án giáo dục và phụ đạo cá nhân hóa một cách nhân văn</t>
  </si>
  <si>
    <t>Nên có</t>
  </si>
  <si>
    <t>So khớp đề kiểm tra với giáo trình</t>
  </si>
  <si>
    <t>RAG đánh giá đề kiểm tra</t>
  </si>
  <si>
    <t>Tải lên đề kiểm tra và đối chiếu với giáo trình chuẩn được lưu trữ trong Qdrant Vector DB</t>
  </si>
  <si>
    <t>Đánh giá mức độ bám sát kiến thức, phân loại Bloom và tính chỉ số độ khó đề thi (CDI)</t>
  </si>
  <si>
    <t>Số hóa giáo trình học tập</t>
  </si>
  <si>
    <t>OCR nạp dữ liệu giáo trình</t>
  </si>
  <si>
    <t>Tải lên tài liệu giáo trình/đề cương mẫu (PDF/Ảnh, tối đa 25MB/10MB) để hệ thống tự động OCR và lưu vào Qdrant Vector DB</t>
  </si>
  <si>
    <t>Xây dựng kho tri thức nền tảng cho việc so khớp đề thi</t>
  </si>
  <si>
    <t>Bóc tách đề thi tự động</t>
  </si>
  <si>
    <t>OCR phân tích đề thi</t>
  </si>
  <si>
    <t>Tải lên file ảnh chụp/scan đề thi (PDF/Ảnh) để hệ thống tự động bóc tách</t>
  </si>
  <si>
    <t>Thực hiện phân tích RAG nhanh chóng không cần nhập tay</t>
  </si>
  <si>
    <t>Có thì tốt</t>
  </si>
  <si>
    <t>Giám sát chất lượng &amp; metrics</t>
  </si>
  <si>
    <t>Dashboard giám sát kỹ thuật</t>
  </si>
  <si>
    <t>Admin Hệ thống</t>
  </si>
  <si>
    <t>Xem thống kê các chỉ số vận hành (độ trễ phản hồi, độ chính xác AI, đánh giá chất lượng từ BGH/GV)</t>
  </si>
  <si>
    <t>Đảm bảo hệ thống hoạt động ổn định và tối ưu chi phí (Cache Prompt)</t>
  </si>
  <si>
    <t>Tăng giá trị đáng kể nhưng không ảnh hưởng hoạt động cốt lõi</t>
  </si>
  <si>
    <t>Làm nếu còn thời gian — Không ảnh hưởng nếu bỏ qua</t>
  </si>
  <si>
    <t>Không làm</t>
  </si>
  <si>
    <t>Ngoài phạm vi giai đoạn này</t>
  </si>
  <si>
    <t>Sản phẩm không hoạt động nếu thiếu — Phải hoàn thành</t>
  </si>
  <si>
    <t>THANG MỨC ƯU TIÊN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</si>
</sst>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b/>
      <sz val="18"/>
      <color rgb="FFFFFFFF"/>
      <name val="Calibri"/>
    </font>
    <font>
      <i/>
      <sz val="10"/>
      <color rgb="FFFFFFFF"/>
      <name val="Calibri"/>
    </font>
    <font>
      <b/>
      <sz val="11"/>
      <color rgb="FF08365F"/>
      <name val="Calibri"/>
    </font>
    <font>
      <sz val="11"/>
      <color rgb="FF1F2937"/>
      <name val="Calibri"/>
    </font>
    <font>
      <sz val="11"/>
      <color rgb="FFFF0000"/>
      <name val="Calibri"/>
    </font>
    <font>
      <b/>
      <sz val="13"/>
      <color rgb="FFFFFFFF"/>
      <name val="Calibri"/>
    </font>
    <font>
      <b/>
      <sz val="11"/>
      <color rgb="FFFFFFFF"/>
      <name val="Calibri"/>
    </font>
    <font>
      <b/>
      <sz val="11"/>
      <color rgb="FF1B7A3D"/>
      <name val="Calibri"/>
    </font>
    <font>
      <b/>
      <sz val="11"/>
      <color rgb="FF8A6D00"/>
      <name val="Calibri"/>
    </font>
    <font>
      <b/>
      <sz val="15"/>
      <color rgb="FFFFFFFF"/>
      <name val="Calibri"/>
    </font>
    <font>
      <b/>
      <sz val="11"/>
      <color theme="1"/>
      <name val="Quattrocento Sans"/>
    </font>
    <font>
      <sz val="11"/>
      <color theme="1"/>
      <name val="Quattrocento Sans"/>
    </font>
    <font>
      <sz val="11"/>
      <color theme="1"/>
      <name val="Calibri"/>
      <scheme val="minor"/>
    </font>
    <font>
      <i/>
      <sz val="11"/>
      <color rgb="FFFFFFFF"/>
      <name val="Calibri"/>
    </font>
    <font>
      <b/>
      <sz val="12"/>
      <color rgb="FFFFFFFF"/>
      <name val="Calibri"/>
    </font>
    <font>
      <b/>
      <sz val="11"/>
      <color rgb="FF1F2937"/>
      <name val="Calibri"/>
    </font>
    <font>
      <b/>
      <sz val="11"/>
      <color rgb="FF9C2B2B"/>
      <name val="Calibri"/>
    </font>
    <font>
      <b/>
      <sz val="16"/>
      <color rgb="FFFFFFFF"/>
      <name val="Calibri"/>
    </font>
    <font>
      <sz val="11"/>
      <name val="Calibri"/>
    </font>
    <font>
      <b/>
      <sz val="12"/>
      <color rgb="FFFFFFFF"/>
      <name val="Calibri"/>
      <family val="2"/>
      <scheme val="minor"/>
    </font>
    <font>
      <sz val="11"/>
      <color rgb="FF1F2937"/>
      <name val="Calibri"/>
      <family val="2"/>
      <scheme val="minor"/>
    </font>
    <font>
      <b/>
      <sz val="11"/>
      <color rgb="FFFFFFFF"/>
      <name val="Calibri"/>
    </font>
    <font>
      <sz val="11"/>
      <color rgb="FF000000"/>
      <name val="Calibri"/>
    </font>
  </fonts>
  <fills count="17">
    <fill>
      <patternFill patternType="none"/>
    </fill>
    <fill>
      <patternFill patternType="gray125"/>
    </fill>
    <fill>
      <patternFill patternType="solid">
        <fgColor rgb="FF0D4D8B"/>
        <bgColor rgb="FF0D4D8B"/>
      </patternFill>
    </fill>
    <fill>
      <patternFill patternType="solid">
        <fgColor rgb="FF08365F"/>
        <bgColor rgb="FF08365F"/>
      </patternFill>
    </fill>
    <fill>
      <patternFill patternType="solid">
        <fgColor rgb="FFE8F0F8"/>
        <bgColor rgb="FFE8F0F8"/>
      </patternFill>
    </fill>
    <fill>
      <patternFill patternType="solid">
        <fgColor rgb="FFFFFFFF"/>
        <bgColor rgb="FFFFFFFF"/>
      </patternFill>
    </fill>
    <fill>
      <patternFill patternType="solid">
        <fgColor rgb="FFF2F4F7"/>
        <bgColor rgb="FFF2F4F7"/>
      </patternFill>
    </fill>
    <fill>
      <patternFill patternType="solid">
        <fgColor rgb="FFC6EFCE"/>
        <bgColor rgb="FFC6EFCE"/>
      </patternFill>
    </fill>
    <fill>
      <patternFill patternType="solid">
        <fgColor rgb="FFFFEB9C"/>
        <bgColor rgb="FFFFEB9C"/>
      </patternFill>
    </fill>
    <fill>
      <patternFill patternType="solid">
        <fgColor rgb="FFF2F5F9"/>
        <bgColor rgb="FFF2F5F9"/>
      </patternFill>
    </fill>
    <fill>
      <patternFill patternType="solid">
        <fgColor rgb="FFF4CCCC"/>
        <bgColor rgb="FFF4CCCC"/>
      </patternFill>
    </fill>
    <fill>
      <patternFill patternType="solid">
        <fgColor rgb="FFC72127"/>
        <bgColor rgb="FFC72127"/>
      </patternFill>
    </fill>
    <fill>
      <patternFill patternType="solid">
        <fgColor rgb="FFB7E1CD"/>
        <bgColor rgb="FFB7E1CD"/>
      </patternFill>
    </fill>
    <fill>
      <patternFill patternType="solid">
        <fgColor rgb="FF0D4D8B"/>
        <bgColor indexed="64"/>
      </patternFill>
    </fill>
    <fill>
      <patternFill patternType="solid">
        <fgColor rgb="FFFFFFFF"/>
        <bgColor indexed="64"/>
      </patternFill>
    </fill>
    <fill>
      <patternFill patternType="solid">
        <fgColor rgb="FFB32424"/>
        <bgColor rgb="FFB32424"/>
      </patternFill>
    </fill>
    <fill>
      <patternFill patternType="solid">
        <fgColor rgb="FFE2F0D9"/>
        <bgColor rgb="FFE2F0D9"/>
      </patternFill>
    </fill>
  </fills>
  <borders count="13">
    <border>
      <left/>
      <right/>
      <top/>
      <bottom/>
      <diagonal/>
    </border>
    <border>
      <left/>
      <right/>
      <top/>
      <bottom/>
      <diagonal/>
    </border>
    <border>
      <left style="thin">
        <color rgb="FFBFC9D4"/>
      </left>
      <right style="thin">
        <color rgb="FFBFC9D4"/>
      </right>
      <top style="thin">
        <color rgb="FFBFC9D4"/>
      </top>
      <bottom style="thin">
        <color rgb="FFBFC9D4"/>
      </bottom>
      <diagonal/>
    </border>
    <border>
      <left/>
      <right/>
      <top style="thin">
        <color rgb="FFBFC9D4"/>
      </top>
      <bottom style="thin">
        <color rgb="FFBFC9D4"/>
      </bottom>
      <diagonal/>
    </border>
    <border>
      <left/>
      <right style="thin">
        <color rgb="FFBFC9D4"/>
      </right>
      <top style="thin">
        <color rgb="FFBFC9D4"/>
      </top>
      <bottom style="thin">
        <color rgb="FFBFC9D4"/>
      </bottom>
      <diagonal/>
    </border>
    <border>
      <left style="thin">
        <color rgb="FFD3D3D3"/>
      </left>
      <right style="thin">
        <color rgb="FFD3D3D3"/>
      </right>
      <top style="thin">
        <color rgb="FFD3D3D3"/>
      </top>
      <bottom style="thin">
        <color rgb="FFD3D3D3"/>
      </bottom>
      <diagonal/>
    </border>
    <border>
      <left/>
      <right style="medium">
        <color rgb="FFBFC9D4"/>
      </right>
      <top style="medium">
        <color rgb="FFBFC9D4"/>
      </top>
      <bottom style="medium">
        <color rgb="FFBFC9D4"/>
      </bottom>
      <diagonal/>
    </border>
    <border>
      <left/>
      <right/>
      <top style="medium">
        <color rgb="FFBFC9D4"/>
      </top>
      <bottom style="medium">
        <color rgb="FFBFC9D4"/>
      </bottom>
      <diagonal/>
    </border>
    <border>
      <left style="medium">
        <color rgb="FFBFC9D4"/>
      </left>
      <right/>
      <top style="medium">
        <color rgb="FFBFC9D4"/>
      </top>
      <bottom style="medium">
        <color rgb="FFBFC9D4"/>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D3D3D3"/>
      </top>
      <bottom style="medium">
        <color rgb="FFBFC9D4"/>
      </bottom>
      <diagonal/>
    </border>
  </borders>
  <cellStyleXfs count="1">
    <xf numFmtId="0" fontId="0" fillId="0" borderId="1"/>
  </cellStyleXfs>
  <cellXfs count="55">
    <xf numFmtId="0" fontId="0" fillId="0" borderId="0" xfId="0" applyBorder="1"/>
    <xf numFmtId="0" fontId="3" fillId="4" borderId="2" xfId="0" applyFont="1" applyFill="1" applyBorder="1" applyAlignment="1">
      <alignment horizontal="left" vertical="center" wrapText="1"/>
    </xf>
    <xf numFmtId="0" fontId="7" fillId="3"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4" fillId="5"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8" fillId="7" borderId="2"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1" fillId="9" borderId="5" xfId="0" applyFont="1" applyFill="1" applyBorder="1" applyAlignment="1">
      <alignment wrapText="1"/>
    </xf>
    <xf numFmtId="0" fontId="12" fillId="0" borderId="5" xfId="0" applyFont="1" applyBorder="1" applyAlignment="1">
      <alignment wrapText="1"/>
    </xf>
    <xf numFmtId="0" fontId="3" fillId="5" borderId="2" xfId="0" applyFont="1" applyFill="1" applyBorder="1" applyAlignment="1">
      <alignment horizontal="left" vertical="center" wrapText="1"/>
    </xf>
    <xf numFmtId="0" fontId="13" fillId="0" borderId="0" xfId="0" applyFont="1" applyBorder="1"/>
    <xf numFmtId="0" fontId="4" fillId="0" borderId="2" xfId="0" applyFont="1" applyBorder="1" applyAlignment="1">
      <alignment horizontal="left" vertical="top" wrapText="1"/>
    </xf>
    <xf numFmtId="0" fontId="4" fillId="0" borderId="2" xfId="0" applyFont="1" applyBorder="1" applyAlignment="1">
      <alignment horizontal="left" vertical="center" wrapText="1"/>
    </xf>
    <xf numFmtId="0" fontId="16" fillId="6" borderId="2" xfId="0" applyFont="1" applyFill="1" applyBorder="1" applyAlignment="1">
      <alignment horizontal="center" vertical="center" wrapText="1"/>
    </xf>
    <xf numFmtId="0" fontId="3" fillId="6" borderId="2" xfId="0" applyFont="1" applyFill="1" applyBorder="1" applyAlignment="1">
      <alignment horizontal="left" vertical="center" wrapText="1"/>
    </xf>
    <xf numFmtId="0" fontId="4" fillId="5" borderId="2" xfId="0" applyFont="1" applyFill="1" applyBorder="1" applyAlignment="1">
      <alignment horizontal="left" vertical="top" wrapText="1"/>
    </xf>
    <xf numFmtId="0" fontId="17" fillId="10" borderId="2" xfId="0" applyFont="1" applyFill="1" applyBorder="1" applyAlignment="1">
      <alignment horizontal="center" vertical="center" wrapText="1"/>
    </xf>
    <xf numFmtId="0" fontId="7" fillId="3" borderId="2" xfId="0" applyFont="1" applyFill="1" applyBorder="1" applyAlignment="1">
      <alignment horizontal="center" wrapText="1"/>
    </xf>
    <xf numFmtId="0" fontId="9" fillId="12" borderId="2" xfId="0" applyFont="1" applyFill="1" applyBorder="1" applyAlignment="1">
      <alignment horizontal="center" vertical="center" wrapText="1"/>
    </xf>
    <xf numFmtId="14" fontId="4" fillId="5" borderId="2" xfId="0" applyNumberFormat="1" applyFont="1" applyFill="1" applyBorder="1" applyAlignment="1">
      <alignment horizontal="center" vertical="center" wrapText="1"/>
    </xf>
    <xf numFmtId="0" fontId="19" fillId="0" borderId="9" xfId="0" applyFont="1" applyBorder="1" applyAlignment="1">
      <alignment horizontal="left" vertical="center"/>
    </xf>
    <xf numFmtId="0" fontId="19" fillId="0" borderId="9" xfId="0" applyFont="1" applyBorder="1" applyAlignment="1">
      <alignment horizontal="center" vertical="center"/>
    </xf>
    <xf numFmtId="0" fontId="19" fillId="16" borderId="9" xfId="0" applyFont="1" applyFill="1" applyBorder="1" applyAlignment="1">
      <alignment horizontal="center" vertical="center"/>
    </xf>
    <xf numFmtId="0" fontId="23" fillId="0" borderId="9" xfId="0" applyFont="1" applyBorder="1" applyAlignment="1">
      <alignment horizontal="left" vertical="center"/>
    </xf>
    <xf numFmtId="14" fontId="23" fillId="0" borderId="9" xfId="0" applyNumberFormat="1" applyFont="1" applyBorder="1" applyAlignment="1">
      <alignment horizontal="left" vertical="center"/>
    </xf>
    <xf numFmtId="0" fontId="4" fillId="5" borderId="2" xfId="0" applyFont="1" applyFill="1" applyBorder="1" applyAlignment="1">
      <alignment horizontal="left" vertical="center" wrapText="1"/>
    </xf>
    <xf numFmtId="0" fontId="0" fillId="0" borderId="3" xfId="0" applyBorder="1"/>
    <xf numFmtId="0" fontId="0" fillId="0" borderId="4" xfId="0" applyBorder="1"/>
    <xf numFmtId="0" fontId="2" fillId="3" borderId="1" xfId="0" applyFont="1" applyFill="1" applyAlignment="1">
      <alignment horizontal="center" vertical="center" wrapText="1"/>
    </xf>
    <xf numFmtId="0" fontId="0" fillId="0" borderId="0" xfId="0" applyBorder="1"/>
    <xf numFmtId="0" fontId="5" fillId="5" borderId="2" xfId="0" applyFont="1" applyFill="1" applyBorder="1" applyAlignment="1">
      <alignment horizontal="left" vertical="center" wrapText="1"/>
    </xf>
    <xf numFmtId="14" fontId="4" fillId="5" borderId="2" xfId="0" applyNumberFormat="1" applyFont="1" applyFill="1" applyBorder="1" applyAlignment="1">
      <alignment horizontal="left" vertical="center" wrapText="1"/>
    </xf>
    <xf numFmtId="0" fontId="1" fillId="2" borderId="1" xfId="0" applyFont="1" applyFill="1" applyAlignment="1">
      <alignment horizontal="center" vertical="center" wrapText="1"/>
    </xf>
    <xf numFmtId="0" fontId="6" fillId="2" borderId="1" xfId="0" applyFont="1" applyFill="1" applyAlignment="1">
      <alignment horizontal="center" vertical="center" wrapText="1"/>
    </xf>
    <xf numFmtId="0" fontId="4" fillId="5" borderId="2" xfId="0" applyFont="1" applyFill="1" applyBorder="1" applyAlignment="1">
      <alignment horizontal="left" vertical="top" wrapText="1"/>
    </xf>
    <xf numFmtId="0" fontId="10" fillId="2" borderId="1" xfId="0" applyFont="1" applyFill="1" applyAlignment="1">
      <alignment horizontal="center" vertical="center" wrapText="1"/>
    </xf>
    <xf numFmtId="0" fontId="7" fillId="3"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15" fillId="3" borderId="1" xfId="0" applyFont="1" applyFill="1" applyAlignment="1">
      <alignment horizontal="left" vertical="center" wrapText="1"/>
    </xf>
    <xf numFmtId="14" fontId="4" fillId="5" borderId="2" xfId="0" applyNumberFormat="1" applyFont="1" applyFill="1" applyBorder="1" applyAlignment="1">
      <alignment horizontal="left" vertical="top" wrapText="1"/>
    </xf>
    <xf numFmtId="0" fontId="14" fillId="3" borderId="1" xfId="0" applyFont="1" applyFill="1" applyAlignment="1">
      <alignment horizontal="center" vertical="center" wrapText="1"/>
    </xf>
    <xf numFmtId="0" fontId="22" fillId="15" borderId="9" xfId="0" applyFont="1" applyFill="1" applyBorder="1" applyAlignment="1">
      <alignment horizontal="left" vertical="center"/>
    </xf>
    <xf numFmtId="0" fontId="0" fillId="0" borderId="10" xfId="0" applyBorder="1"/>
    <xf numFmtId="0" fontId="0" fillId="0" borderId="11" xfId="0" applyBorder="1"/>
    <xf numFmtId="0" fontId="18" fillId="2" borderId="1" xfId="0" applyFont="1" applyFill="1" applyAlignment="1">
      <alignment horizontal="center" wrapText="1"/>
    </xf>
    <xf numFmtId="0" fontId="18" fillId="11" borderId="1" xfId="0" applyFont="1" applyFill="1" applyAlignment="1">
      <alignment horizontal="center" vertical="center" wrapText="1"/>
    </xf>
    <xf numFmtId="0" fontId="15" fillId="2" borderId="1" xfId="0" applyFont="1" applyFill="1" applyAlignment="1">
      <alignment horizontal="left" vertical="center" wrapText="1"/>
    </xf>
    <xf numFmtId="0" fontId="7" fillId="11" borderId="1" xfId="0" applyFont="1" applyFill="1" applyAlignment="1">
      <alignment horizontal="left" vertical="center" wrapText="1"/>
    </xf>
    <xf numFmtId="0" fontId="18" fillId="2" borderId="1" xfId="0" applyFont="1" applyFill="1" applyAlignment="1">
      <alignment horizontal="center" vertical="center" wrapText="1"/>
    </xf>
    <xf numFmtId="0" fontId="21" fillId="14" borderId="8" xfId="0" applyFont="1" applyFill="1" applyBorder="1" applyAlignment="1">
      <alignment vertical="center" wrapText="1"/>
    </xf>
    <xf numFmtId="0" fontId="21" fillId="14" borderId="7" xfId="0" applyFont="1" applyFill="1" applyBorder="1" applyAlignment="1">
      <alignment vertical="center" wrapText="1"/>
    </xf>
    <xf numFmtId="0" fontId="21" fillId="14" borderId="6" xfId="0" applyFont="1" applyFill="1" applyBorder="1" applyAlignment="1">
      <alignment vertical="center" wrapText="1"/>
    </xf>
    <xf numFmtId="0" fontId="20" fillId="13" borderId="12" xfId="0" applyFont="1" applyFill="1" applyBorder="1" applyAlignment="1">
      <alignment vertical="center" wrapText="1"/>
    </xf>
  </cellXfs>
  <cellStyles count="1">
    <cellStyle name="Normal" xfId="0" builtinId="0"/>
  </cellStyles>
  <dxfs count="3">
    <dxf>
      <fill>
        <patternFill patternType="solid">
          <fgColor rgb="FFA2C4C9"/>
          <bgColor rgb="FFA2C4C9"/>
        </patternFill>
      </fill>
    </dxf>
    <dxf>
      <fill>
        <patternFill patternType="solid">
          <fgColor rgb="FFEA9999"/>
          <bgColor rgb="FFEA9999"/>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2"/>
  <sheetViews>
    <sheetView showGridLines="0" workbookViewId="0">
      <pane ySplit="3" topLeftCell="A22" activePane="bottomLeft" state="frozen"/>
      <selection pane="bottomLeft" activeCell="I18" sqref="I18"/>
    </sheetView>
  </sheetViews>
  <sheetFormatPr defaultColWidth="14.42578125" defaultRowHeight="15" customHeight="1" x14ac:dyDescent="0.25"/>
  <cols>
    <col min="1" max="1" width="26" customWidth="1"/>
    <col min="2" max="2" width="32" customWidth="1"/>
    <col min="3" max="3" width="14" customWidth="1"/>
    <col min="4" max="5" width="11" customWidth="1"/>
    <col min="6" max="6" width="18" customWidth="1"/>
  </cols>
  <sheetData>
    <row r="1" spans="1:6" ht="30" customHeight="1" x14ac:dyDescent="0.25">
      <c r="A1" s="34" t="s">
        <v>0</v>
      </c>
      <c r="B1" s="31"/>
      <c r="C1" s="31"/>
      <c r="D1" s="31"/>
      <c r="E1" s="31"/>
      <c r="F1" s="31"/>
    </row>
    <row r="2" spans="1:6" x14ac:dyDescent="0.25">
      <c r="A2" s="30" t="s">
        <v>1</v>
      </c>
      <c r="B2" s="31"/>
      <c r="C2" s="31"/>
      <c r="D2" s="31"/>
      <c r="E2" s="31"/>
      <c r="F2" s="31"/>
    </row>
    <row r="4" spans="1:6" x14ac:dyDescent="0.25">
      <c r="A4" s="1" t="s">
        <v>2</v>
      </c>
      <c r="B4" s="27" t="s">
        <v>3</v>
      </c>
      <c r="C4" s="28"/>
      <c r="D4" s="28"/>
      <c r="E4" s="28"/>
      <c r="F4" s="29"/>
    </row>
    <row r="5" spans="1:6" x14ac:dyDescent="0.25">
      <c r="A5" s="1" t="s">
        <v>4</v>
      </c>
      <c r="B5" s="27" t="s">
        <v>5</v>
      </c>
      <c r="C5" s="28"/>
      <c r="D5" s="28"/>
      <c r="E5" s="28"/>
      <c r="F5" s="29"/>
    </row>
    <row r="6" spans="1:6" x14ac:dyDescent="0.25">
      <c r="A6" s="1" t="s">
        <v>6</v>
      </c>
      <c r="B6" s="33">
        <v>46219</v>
      </c>
      <c r="C6" s="28"/>
      <c r="D6" s="28"/>
      <c r="E6" s="28"/>
      <c r="F6" s="29"/>
    </row>
    <row r="7" spans="1:6" x14ac:dyDescent="0.25">
      <c r="A7" s="1" t="s">
        <v>7</v>
      </c>
      <c r="B7" s="33">
        <v>46262</v>
      </c>
      <c r="C7" s="28"/>
      <c r="D7" s="28"/>
      <c r="E7" s="28"/>
      <c r="F7" s="29"/>
    </row>
    <row r="8" spans="1:6" x14ac:dyDescent="0.25">
      <c r="A8" s="1" t="s">
        <v>8</v>
      </c>
      <c r="B8" s="27" t="s">
        <v>9</v>
      </c>
      <c r="C8" s="28"/>
      <c r="D8" s="28"/>
      <c r="E8" s="28"/>
      <c r="F8" s="29"/>
    </row>
    <row r="9" spans="1:6" x14ac:dyDescent="0.25">
      <c r="A9" s="1" t="s">
        <v>10</v>
      </c>
      <c r="B9" s="27" t="s">
        <v>11</v>
      </c>
      <c r="C9" s="28"/>
      <c r="D9" s="28"/>
      <c r="E9" s="28"/>
      <c r="F9" s="29"/>
    </row>
    <row r="10" spans="1:6" ht="30" customHeight="1" x14ac:dyDescent="0.25">
      <c r="A10" s="1" t="s">
        <v>12</v>
      </c>
      <c r="B10" s="27" t="s">
        <v>13</v>
      </c>
      <c r="C10" s="28"/>
      <c r="D10" s="28"/>
      <c r="E10" s="28"/>
      <c r="F10" s="29"/>
    </row>
    <row r="11" spans="1:6" x14ac:dyDescent="0.25">
      <c r="A11" s="1" t="s">
        <v>14</v>
      </c>
      <c r="B11" s="32" t="s">
        <v>15</v>
      </c>
      <c r="C11" s="28"/>
      <c r="D11" s="28"/>
      <c r="E11" s="28"/>
      <c r="F11" s="29"/>
    </row>
    <row r="12" spans="1:6" x14ac:dyDescent="0.25">
      <c r="A12" s="1" t="s">
        <v>16</v>
      </c>
      <c r="B12" s="32" t="s">
        <v>15</v>
      </c>
      <c r="C12" s="28"/>
      <c r="D12" s="28"/>
      <c r="E12" s="28"/>
      <c r="F12" s="29"/>
    </row>
    <row r="13" spans="1:6" ht="61.5" customHeight="1" x14ac:dyDescent="0.25">
      <c r="A13" s="1" t="s">
        <v>17</v>
      </c>
      <c r="B13" s="36" t="s">
        <v>18</v>
      </c>
      <c r="C13" s="28"/>
      <c r="D13" s="28"/>
      <c r="E13" s="28"/>
      <c r="F13" s="29"/>
    </row>
    <row r="15" spans="1:6" ht="24" customHeight="1" x14ac:dyDescent="0.25">
      <c r="A15" s="35" t="s">
        <v>19</v>
      </c>
      <c r="B15" s="31"/>
      <c r="C15" s="31"/>
      <c r="D15" s="31"/>
      <c r="E15" s="31"/>
      <c r="F15" s="31"/>
    </row>
    <row r="16" spans="1:6" x14ac:dyDescent="0.25">
      <c r="A16" s="2" t="s">
        <v>20</v>
      </c>
      <c r="B16" s="2" t="s">
        <v>21</v>
      </c>
      <c r="C16" s="2" t="s">
        <v>22</v>
      </c>
      <c r="D16" s="2" t="s">
        <v>23</v>
      </c>
      <c r="E16" s="2" t="s">
        <v>24</v>
      </c>
      <c r="F16" s="2" t="s">
        <v>25</v>
      </c>
    </row>
    <row r="17" spans="1:6" ht="45" customHeight="1" x14ac:dyDescent="0.25">
      <c r="A17" s="3" t="s">
        <v>26</v>
      </c>
      <c r="B17" s="4" t="s">
        <v>27</v>
      </c>
      <c r="C17" s="5">
        <f>COUNTA(Backlog!A4:A6)</f>
        <v>3</v>
      </c>
      <c r="D17" s="5">
        <f>COUNTIF(Backlog!G4:G6,"Hoàn thành")</f>
        <v>1</v>
      </c>
      <c r="E17" s="5">
        <f>COUNTIF(Backlog!G4:G6,"Đang làm")</f>
        <v>2</v>
      </c>
      <c r="F17" s="6" t="str">
        <f t="shared" ref="F17:F23" si="0">IF(C17=D17,"Hoàn thành",IF(AND(D17=0,E17=0),"Chưa bắt đầu","Đang làm"))</f>
        <v>Đang làm</v>
      </c>
    </row>
    <row r="18" spans="1:6" ht="30" customHeight="1" x14ac:dyDescent="0.25">
      <c r="A18" s="3" t="s">
        <v>28</v>
      </c>
      <c r="B18" s="4" t="s">
        <v>29</v>
      </c>
      <c r="C18" s="5">
        <f>COUNTA(Backlog!A8:A11)</f>
        <v>4</v>
      </c>
      <c r="D18" s="5">
        <f>COUNTIF(Backlog!G8:G11,"Hoàn thành")</f>
        <v>0</v>
      </c>
      <c r="E18" s="5">
        <f>COUNTIF(Backlog!G8:G11,"Đang làm")</f>
        <v>0</v>
      </c>
      <c r="F18" s="7" t="str">
        <f t="shared" si="0"/>
        <v>Chưa bắt đầu</v>
      </c>
    </row>
    <row r="19" spans="1:6" ht="30" customHeight="1" x14ac:dyDescent="0.25">
      <c r="A19" s="3" t="s">
        <v>30</v>
      </c>
      <c r="B19" s="4" t="s">
        <v>31</v>
      </c>
      <c r="C19" s="5">
        <f>COUNTA(Backlog!A13:A15)</f>
        <v>3</v>
      </c>
      <c r="D19" s="5">
        <f>COUNTIF(Backlog!G13:G15,"Hoàn thành")</f>
        <v>0</v>
      </c>
      <c r="E19" s="5">
        <f>COUNTIF(Backlog!G13:G15,"Đang làm")</f>
        <v>0</v>
      </c>
      <c r="F19" s="7" t="str">
        <f t="shared" si="0"/>
        <v>Chưa bắt đầu</v>
      </c>
    </row>
    <row r="20" spans="1:6" ht="15.75" customHeight="1" x14ac:dyDescent="0.25">
      <c r="A20" s="3" t="s">
        <v>32</v>
      </c>
      <c r="B20" s="4" t="s">
        <v>33</v>
      </c>
      <c r="C20" s="5">
        <f>COUNTA(Backlog!A17:A19)</f>
        <v>3</v>
      </c>
      <c r="D20" s="5">
        <f>COUNTIF(Backlog!G17:G19,"Hoàn thành")</f>
        <v>0</v>
      </c>
      <c r="E20" s="5">
        <f>COUNTIF(Backlog!G17:G19,"Đang làm")</f>
        <v>0</v>
      </c>
      <c r="F20" s="7" t="str">
        <f t="shared" si="0"/>
        <v>Chưa bắt đầu</v>
      </c>
    </row>
    <row r="21" spans="1:6" ht="15.75" customHeight="1" x14ac:dyDescent="0.25">
      <c r="A21" s="3" t="s">
        <v>34</v>
      </c>
      <c r="B21" s="4" t="s">
        <v>35</v>
      </c>
      <c r="C21" s="5">
        <f>COUNTA(Backlog!A21:A23)</f>
        <v>3</v>
      </c>
      <c r="D21" s="5">
        <f>COUNTIF(Backlog!G21:G23,"Hoàn thành")</f>
        <v>0</v>
      </c>
      <c r="E21" s="5">
        <f>COUNTIF(Backlog!G21:G23,"Đang làm")</f>
        <v>0</v>
      </c>
      <c r="F21" s="7" t="str">
        <f t="shared" si="0"/>
        <v>Chưa bắt đầu</v>
      </c>
    </row>
    <row r="22" spans="1:6" ht="15.75" customHeight="1" x14ac:dyDescent="0.25">
      <c r="A22" s="3" t="s">
        <v>36</v>
      </c>
      <c r="B22" s="4" t="s">
        <v>37</v>
      </c>
      <c r="C22" s="5">
        <f>COUNTA(Backlog!A25:A27)</f>
        <v>3</v>
      </c>
      <c r="D22" s="5">
        <f>COUNTIF(Backlog!G25:G27,"Hoàn thành")</f>
        <v>0</v>
      </c>
      <c r="E22" s="5">
        <f>COUNTIF(Backlog!G25:G27,"Đang làm")</f>
        <v>0</v>
      </c>
      <c r="F22" s="7" t="str">
        <f t="shared" si="0"/>
        <v>Chưa bắt đầu</v>
      </c>
    </row>
    <row r="23" spans="1:6" ht="15.75" customHeight="1" x14ac:dyDescent="0.25">
      <c r="A23" s="3" t="s">
        <v>38</v>
      </c>
      <c r="B23" s="4" t="s">
        <v>39</v>
      </c>
      <c r="C23" s="5">
        <f>COUNTA(Backlog!A29:A31)</f>
        <v>3</v>
      </c>
      <c r="D23" s="5">
        <f>COUNTIF(Backlog!G29:G31,"Hoàn thành")</f>
        <v>0</v>
      </c>
      <c r="E23" s="5">
        <f>COUNTIF(Backlog!G29:G31,"Đang làm")</f>
        <v>0</v>
      </c>
      <c r="F23" s="7" t="str">
        <f t="shared" si="0"/>
        <v>Chưa bắt đầu</v>
      </c>
    </row>
    <row r="24" spans="1:6" ht="15.75" customHeight="1" x14ac:dyDescent="0.25">
      <c r="A24" s="3" t="s">
        <v>40</v>
      </c>
      <c r="B24" s="4" t="s">
        <v>41</v>
      </c>
      <c r="C24" s="5">
        <f>SUM(C17:C23)</f>
        <v>22</v>
      </c>
      <c r="D24" s="5">
        <f>SUM(D17:D23)</f>
        <v>1</v>
      </c>
      <c r="E24" s="5">
        <f>SUM(E17:E23)</f>
        <v>2</v>
      </c>
      <c r="F24" s="7" t="str">
        <f>TEXT(D24/C24,"0%")&amp;" hoàn thành"</f>
        <v>5% hoàn thành</v>
      </c>
    </row>
    <row r="25" spans="1:6" ht="15.75" customHeight="1" x14ac:dyDescent="0.25">
      <c r="A25" s="8"/>
      <c r="B25" s="8"/>
      <c r="C25" s="8"/>
      <c r="D25" s="8"/>
      <c r="E25" s="8"/>
      <c r="F25" s="8"/>
    </row>
    <row r="26" spans="1:6" ht="15.75" customHeight="1" x14ac:dyDescent="0.25"/>
    <row r="27" spans="1:6" ht="15.75" customHeight="1" x14ac:dyDescent="0.25"/>
    <row r="28" spans="1:6" ht="15.75" customHeight="1" x14ac:dyDescent="0.25"/>
    <row r="29" spans="1:6" ht="15.75" customHeight="1" x14ac:dyDescent="0.25"/>
    <row r="30" spans="1:6" ht="15.75" customHeight="1" x14ac:dyDescent="0.25"/>
    <row r="31" spans="1:6" ht="15.75" customHeight="1" x14ac:dyDescent="0.25"/>
    <row r="32" spans="1: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mergeCells count="13">
    <mergeCell ref="A1:F1"/>
    <mergeCell ref="B11:F11"/>
    <mergeCell ref="B5:F5"/>
    <mergeCell ref="A15:F15"/>
    <mergeCell ref="B8:F8"/>
    <mergeCell ref="B9:F9"/>
    <mergeCell ref="B13:F13"/>
    <mergeCell ref="B4:F4"/>
    <mergeCell ref="A2:F2"/>
    <mergeCell ref="B12:F12"/>
    <mergeCell ref="B7:F7"/>
    <mergeCell ref="B6:F6"/>
    <mergeCell ref="B10:F10"/>
  </mergeCells>
  <conditionalFormatting sqref="F17:F24">
    <cfRule type="cellIs" dxfId="2" priority="1" operator="equal">
      <formula>"Hoàn thành"</formula>
    </cfRule>
    <cfRule type="cellIs" dxfId="1" priority="2" operator="equal">
      <formula>"Chưa bắt đầu"</formula>
    </cfRule>
    <cfRule type="cellIs" dxfId="0" priority="3" operator="equal">
      <formula>"Đang làm"</formula>
    </cfRule>
  </conditionalFormatting>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993"/>
  <sheetViews>
    <sheetView showGridLines="0" workbookViewId="0">
      <pane ySplit="2" topLeftCell="A3" activePane="bottomLeft" state="frozen"/>
      <selection pane="bottomLeft" activeCell="B4" sqref="B4"/>
    </sheetView>
  </sheetViews>
  <sheetFormatPr defaultColWidth="14.42578125" defaultRowHeight="15" customHeight="1" x14ac:dyDescent="0.25"/>
  <cols>
    <col min="1" max="1" width="24" customWidth="1"/>
    <col min="2" max="2" width="26" customWidth="1"/>
    <col min="3" max="3" width="70" customWidth="1"/>
    <col min="4" max="4" width="30" customWidth="1"/>
    <col min="5" max="6" width="8.7109375" customWidth="1"/>
  </cols>
  <sheetData>
    <row r="1" spans="1:4" ht="27.75" customHeight="1" x14ac:dyDescent="0.25">
      <c r="A1" s="37" t="s">
        <v>42</v>
      </c>
      <c r="B1" s="31"/>
      <c r="C1" s="31"/>
      <c r="D1" s="31"/>
    </row>
    <row r="2" spans="1:4" x14ac:dyDescent="0.25">
      <c r="A2" s="2" t="s">
        <v>43</v>
      </c>
      <c r="B2" s="2" t="s">
        <v>44</v>
      </c>
      <c r="C2" s="2" t="s">
        <v>45</v>
      </c>
      <c r="D2" s="2" t="s">
        <v>46</v>
      </c>
    </row>
    <row r="3" spans="1:4" ht="86.25" customHeight="1" x14ac:dyDescent="0.25">
      <c r="A3" s="1" t="s">
        <v>47</v>
      </c>
      <c r="B3" s="9" t="s">
        <v>48</v>
      </c>
      <c r="C3" s="10" t="s">
        <v>49</v>
      </c>
      <c r="D3" s="10"/>
    </row>
    <row r="4" spans="1:4" ht="39.75" customHeight="1" x14ac:dyDescent="0.25">
      <c r="A4" s="1" t="s">
        <v>50</v>
      </c>
      <c r="B4" s="9" t="s">
        <v>51</v>
      </c>
      <c r="C4" s="10" t="s">
        <v>52</v>
      </c>
      <c r="D4" s="10"/>
    </row>
    <row r="5" spans="1:4" ht="57.75" customHeight="1" x14ac:dyDescent="0.25">
      <c r="A5" s="11"/>
      <c r="B5" s="9" t="s">
        <v>53</v>
      </c>
      <c r="C5" s="10" t="s">
        <v>54</v>
      </c>
      <c r="D5" s="10"/>
    </row>
    <row r="6" spans="1:4" ht="57.75" customHeight="1" x14ac:dyDescent="0.25">
      <c r="A6" s="12"/>
      <c r="B6" s="9" t="s">
        <v>55</v>
      </c>
      <c r="C6" s="10" t="s">
        <v>56</v>
      </c>
      <c r="D6" s="10"/>
    </row>
    <row r="7" spans="1:4" ht="114.75" customHeight="1" x14ac:dyDescent="0.25">
      <c r="A7" s="1" t="s">
        <v>57</v>
      </c>
      <c r="B7" s="9" t="s">
        <v>58</v>
      </c>
      <c r="C7" s="10" t="s">
        <v>59</v>
      </c>
      <c r="D7" s="10"/>
    </row>
    <row r="8" spans="1:4" ht="409.6" customHeight="1" x14ac:dyDescent="0.25">
      <c r="A8" s="11"/>
      <c r="B8" s="9" t="s">
        <v>60</v>
      </c>
      <c r="C8" s="10" t="s">
        <v>61</v>
      </c>
      <c r="D8" s="10"/>
    </row>
    <row r="9" spans="1:4" ht="228.75" customHeight="1" x14ac:dyDescent="0.25">
      <c r="A9" s="11"/>
      <c r="B9" s="9" t="s">
        <v>62</v>
      </c>
      <c r="C9" s="10" t="s">
        <v>63</v>
      </c>
      <c r="D9" s="10"/>
    </row>
    <row r="10" spans="1:4" ht="135" customHeight="1" x14ac:dyDescent="0.25">
      <c r="A10" s="12"/>
      <c r="B10" s="9" t="s">
        <v>64</v>
      </c>
      <c r="C10" s="13" t="s">
        <v>65</v>
      </c>
      <c r="D10" s="14"/>
    </row>
    <row r="11" spans="1:4" ht="75" customHeight="1" x14ac:dyDescent="0.25">
      <c r="A11" s="1" t="s">
        <v>66</v>
      </c>
      <c r="B11" s="9" t="s">
        <v>67</v>
      </c>
      <c r="C11" s="13" t="s">
        <v>68</v>
      </c>
      <c r="D11" s="14"/>
    </row>
    <row r="12" spans="1:4" ht="57.75" customHeight="1" x14ac:dyDescent="0.25">
      <c r="A12" s="12"/>
      <c r="B12" s="9" t="s">
        <v>69</v>
      </c>
      <c r="C12" s="10" t="s">
        <v>70</v>
      </c>
      <c r="D12" s="10"/>
    </row>
    <row r="13" spans="1:4" ht="29.25" customHeight="1" x14ac:dyDescent="0.25">
      <c r="A13" s="11"/>
      <c r="B13" s="9" t="s">
        <v>71</v>
      </c>
      <c r="C13" s="10" t="s">
        <v>72</v>
      </c>
      <c r="D13" s="10"/>
    </row>
    <row r="14" spans="1:4" ht="39.75" customHeight="1" x14ac:dyDescent="0.25">
      <c r="A14" s="11"/>
      <c r="B14" s="9" t="s">
        <v>73</v>
      </c>
      <c r="C14" s="10" t="s">
        <v>74</v>
      </c>
      <c r="D14" s="10"/>
    </row>
    <row r="15" spans="1:4" ht="15.75" customHeight="1" x14ac:dyDescent="0.25"/>
    <row r="16" spans="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sheetData>
  <mergeCells count="1">
    <mergeCell ref="A1:D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3"/>
  <sheetViews>
    <sheetView showGridLines="0" workbookViewId="0">
      <pane ySplit="2" topLeftCell="A15" activePane="bottomLeft" state="frozen"/>
      <selection pane="bottomLeft" activeCell="B4" sqref="B4"/>
    </sheetView>
  </sheetViews>
  <sheetFormatPr defaultColWidth="14.42578125" defaultRowHeight="15" customHeight="1" x14ac:dyDescent="0.25"/>
  <cols>
    <col min="1" max="1" width="24" customWidth="1"/>
    <col min="2" max="2" width="26" customWidth="1"/>
    <col min="3" max="3" width="70" customWidth="1"/>
    <col min="4" max="4" width="30" customWidth="1"/>
    <col min="5" max="6" width="8.7109375" customWidth="1"/>
  </cols>
  <sheetData>
    <row r="1" spans="1:4" ht="27.75" customHeight="1" x14ac:dyDescent="0.25">
      <c r="A1" s="37" t="s">
        <v>75</v>
      </c>
      <c r="B1" s="31"/>
      <c r="C1" s="31"/>
      <c r="D1" s="31"/>
    </row>
    <row r="2" spans="1:4" x14ac:dyDescent="0.25">
      <c r="A2" s="2" t="s">
        <v>43</v>
      </c>
      <c r="B2" s="2" t="s">
        <v>44</v>
      </c>
      <c r="C2" s="2" t="s">
        <v>45</v>
      </c>
      <c r="D2" s="2" t="s">
        <v>46</v>
      </c>
    </row>
    <row r="3" spans="1:4" ht="114.75" customHeight="1" x14ac:dyDescent="0.25">
      <c r="A3" s="1" t="s">
        <v>76</v>
      </c>
      <c r="B3" s="9" t="s">
        <v>48</v>
      </c>
      <c r="C3" s="10" t="s">
        <v>77</v>
      </c>
      <c r="D3" s="10"/>
    </row>
    <row r="4" spans="1:4" ht="271.5" customHeight="1" x14ac:dyDescent="0.25">
      <c r="A4" s="1" t="s">
        <v>78</v>
      </c>
      <c r="B4" s="9"/>
      <c r="C4" s="10" t="s">
        <v>79</v>
      </c>
      <c r="D4" s="10"/>
    </row>
    <row r="5" spans="1:4" ht="228.75" customHeight="1" x14ac:dyDescent="0.25">
      <c r="A5" s="1" t="s">
        <v>80</v>
      </c>
      <c r="B5" s="9"/>
      <c r="C5" s="10" t="s">
        <v>81</v>
      </c>
      <c r="D5" s="10"/>
    </row>
    <row r="6" spans="1:4" ht="186" customHeight="1" x14ac:dyDescent="0.25">
      <c r="A6" s="1" t="s">
        <v>82</v>
      </c>
      <c r="B6" s="9" t="s">
        <v>83</v>
      </c>
      <c r="C6" s="10" t="s">
        <v>84</v>
      </c>
      <c r="D6" s="10"/>
    </row>
    <row r="7" spans="1:4" ht="285.75" customHeight="1" x14ac:dyDescent="0.25">
      <c r="A7" s="12"/>
      <c r="B7" s="9" t="s">
        <v>85</v>
      </c>
      <c r="C7" s="10" t="s">
        <v>86</v>
      </c>
      <c r="D7" s="10"/>
    </row>
    <row r="8" spans="1:4" ht="257.25" customHeight="1" x14ac:dyDescent="0.25">
      <c r="A8" s="11"/>
      <c r="B8" s="9" t="s">
        <v>87</v>
      </c>
      <c r="C8" s="10" t="s">
        <v>88</v>
      </c>
      <c r="D8" s="10"/>
    </row>
    <row r="9" spans="1:4" ht="86.25" customHeight="1" x14ac:dyDescent="0.25">
      <c r="A9" s="11"/>
      <c r="B9" s="9" t="s">
        <v>89</v>
      </c>
      <c r="C9" s="10" t="s">
        <v>90</v>
      </c>
      <c r="D9" s="10"/>
    </row>
    <row r="10" spans="1:4" ht="255" customHeight="1" x14ac:dyDescent="0.25">
      <c r="A10" s="1" t="s">
        <v>91</v>
      </c>
      <c r="B10" s="9"/>
      <c r="C10" s="13" t="s">
        <v>92</v>
      </c>
      <c r="D10" s="14" t="s">
        <v>93</v>
      </c>
    </row>
    <row r="11" spans="1:4" ht="75" customHeight="1" x14ac:dyDescent="0.25">
      <c r="A11" s="12"/>
      <c r="B11" s="9" t="s">
        <v>94</v>
      </c>
      <c r="C11" s="13" t="s">
        <v>95</v>
      </c>
      <c r="D11" s="14"/>
    </row>
    <row r="12" spans="1:4" ht="86.25" customHeight="1" x14ac:dyDescent="0.25">
      <c r="B12" s="9" t="s">
        <v>96</v>
      </c>
      <c r="C12" s="10" t="s">
        <v>97</v>
      </c>
      <c r="D12" s="10"/>
    </row>
    <row r="13" spans="1:4" ht="129" customHeight="1" x14ac:dyDescent="0.25">
      <c r="A13" s="11"/>
      <c r="B13" s="9" t="s">
        <v>98</v>
      </c>
      <c r="C13" s="10" t="s">
        <v>99</v>
      </c>
      <c r="D13" s="10"/>
    </row>
    <row r="14" spans="1:4" ht="39.75" customHeight="1" x14ac:dyDescent="0.25">
      <c r="A14" s="11" t="s">
        <v>100</v>
      </c>
      <c r="B14" s="9"/>
      <c r="C14" s="10" t="s">
        <v>101</v>
      </c>
      <c r="D14" s="10"/>
    </row>
    <row r="15" spans="1:4" ht="15.75" customHeight="1" x14ac:dyDescent="0.25"/>
    <row r="16" spans="1:4"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sheetData>
  <mergeCells count="1">
    <mergeCell ref="A1:D1"/>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4"/>
  <sheetViews>
    <sheetView showGridLines="0" topLeftCell="A22" workbookViewId="0">
      <selection activeCell="G31" sqref="G31"/>
    </sheetView>
  </sheetViews>
  <sheetFormatPr defaultColWidth="14.42578125" defaultRowHeight="15" customHeight="1" x14ac:dyDescent="0.25"/>
  <cols>
    <col min="1" max="1" width="22" customWidth="1"/>
    <col min="2" max="2" width="40" customWidth="1"/>
    <col min="3" max="3" width="20" customWidth="1"/>
    <col min="4" max="5" width="16" customWidth="1"/>
    <col min="6" max="6" width="20" customWidth="1"/>
    <col min="7" max="7" width="16" customWidth="1"/>
    <col min="8" max="8" width="28" customWidth="1"/>
  </cols>
  <sheetData>
    <row r="1" spans="1:8" ht="30" customHeight="1" x14ac:dyDescent="0.25">
      <c r="A1" s="37" t="s">
        <v>102</v>
      </c>
      <c r="B1" s="31"/>
      <c r="C1" s="31"/>
      <c r="D1" s="31"/>
      <c r="E1" s="31"/>
      <c r="F1" s="31"/>
      <c r="G1" s="31"/>
      <c r="H1" s="31"/>
    </row>
    <row r="2" spans="1:8" x14ac:dyDescent="0.25">
      <c r="A2" s="42" t="s">
        <v>1</v>
      </c>
      <c r="B2" s="31"/>
      <c r="C2" s="31"/>
      <c r="D2" s="31"/>
      <c r="E2" s="31"/>
      <c r="F2" s="31"/>
      <c r="G2" s="31"/>
      <c r="H2" s="31"/>
    </row>
    <row r="4" spans="1:8" ht="21.75" customHeight="1" x14ac:dyDescent="0.25">
      <c r="A4" s="40" t="s">
        <v>103</v>
      </c>
      <c r="B4" s="31"/>
      <c r="C4" s="31"/>
      <c r="D4" s="31"/>
      <c r="E4" s="31"/>
      <c r="F4" s="31"/>
      <c r="G4" s="31"/>
      <c r="H4" s="31"/>
    </row>
    <row r="5" spans="1:8" x14ac:dyDescent="0.25">
      <c r="A5" s="1" t="s">
        <v>4</v>
      </c>
      <c r="B5" s="36" t="s">
        <v>1</v>
      </c>
      <c r="C5" s="28"/>
      <c r="D5" s="28"/>
      <c r="E5" s="28"/>
      <c r="F5" s="28"/>
      <c r="G5" s="28"/>
      <c r="H5" s="29"/>
    </row>
    <row r="6" spans="1:8" x14ac:dyDescent="0.25">
      <c r="A6" s="1" t="s">
        <v>104</v>
      </c>
      <c r="B6" s="36" t="s">
        <v>105</v>
      </c>
      <c r="C6" s="28"/>
      <c r="D6" s="28"/>
      <c r="E6" s="28"/>
      <c r="F6" s="28"/>
      <c r="G6" s="28"/>
      <c r="H6" s="29"/>
    </row>
    <row r="7" spans="1:8" x14ac:dyDescent="0.25">
      <c r="A7" s="1" t="s">
        <v>106</v>
      </c>
      <c r="B7" s="41" t="s">
        <v>107</v>
      </c>
      <c r="C7" s="28"/>
      <c r="D7" s="28"/>
      <c r="E7" s="28"/>
      <c r="F7" s="28"/>
      <c r="G7" s="28"/>
      <c r="H7" s="29"/>
    </row>
    <row r="8" spans="1:8" x14ac:dyDescent="0.25">
      <c r="A8" s="1" t="s">
        <v>108</v>
      </c>
      <c r="B8" s="36" t="s">
        <v>109</v>
      </c>
      <c r="C8" s="28"/>
      <c r="D8" s="28"/>
      <c r="E8" s="28"/>
      <c r="F8" s="28"/>
      <c r="G8" s="28"/>
      <c r="H8" s="29"/>
    </row>
    <row r="10" spans="1:8" ht="21.75" customHeight="1" x14ac:dyDescent="0.25">
      <c r="A10" s="40" t="s">
        <v>110</v>
      </c>
      <c r="B10" s="31"/>
      <c r="C10" s="31"/>
      <c r="D10" s="31"/>
      <c r="E10" s="31"/>
      <c r="F10" s="31"/>
      <c r="G10" s="31"/>
      <c r="H10" s="31"/>
    </row>
    <row r="11" spans="1:8" ht="57.75" customHeight="1" x14ac:dyDescent="0.25">
      <c r="A11" s="1" t="s">
        <v>111</v>
      </c>
      <c r="B11" s="36" t="s">
        <v>112</v>
      </c>
      <c r="C11" s="28"/>
      <c r="D11" s="28"/>
      <c r="E11" s="28"/>
      <c r="F11" s="28"/>
      <c r="G11" s="28"/>
      <c r="H11" s="29"/>
    </row>
    <row r="12" spans="1:8" ht="49.5" customHeight="1" x14ac:dyDescent="0.25">
      <c r="A12" s="1" t="s">
        <v>113</v>
      </c>
      <c r="B12" s="36" t="s">
        <v>114</v>
      </c>
      <c r="C12" s="28"/>
      <c r="D12" s="28"/>
      <c r="E12" s="28"/>
      <c r="F12" s="28"/>
      <c r="G12" s="28"/>
      <c r="H12" s="29"/>
    </row>
    <row r="13" spans="1:8" ht="54" customHeight="1" x14ac:dyDescent="0.25">
      <c r="A13" s="1" t="s">
        <v>115</v>
      </c>
      <c r="B13" s="36" t="s">
        <v>116</v>
      </c>
      <c r="C13" s="28"/>
      <c r="D13" s="28"/>
      <c r="E13" s="28"/>
      <c r="F13" s="28"/>
      <c r="G13" s="28"/>
      <c r="H13" s="29"/>
    </row>
    <row r="15" spans="1:8" ht="21.75" customHeight="1" x14ac:dyDescent="0.25">
      <c r="A15" s="40" t="s">
        <v>117</v>
      </c>
      <c r="B15" s="31"/>
      <c r="C15" s="31"/>
      <c r="D15" s="31"/>
      <c r="E15" s="31"/>
      <c r="F15" s="31"/>
      <c r="G15" s="31"/>
      <c r="H15" s="31"/>
    </row>
    <row r="16" spans="1:8" x14ac:dyDescent="0.25">
      <c r="A16" s="2" t="s">
        <v>118</v>
      </c>
      <c r="B16" s="38" t="s">
        <v>119</v>
      </c>
      <c r="C16" s="28"/>
      <c r="D16" s="28"/>
      <c r="E16" s="29"/>
      <c r="F16" s="38" t="s">
        <v>120</v>
      </c>
      <c r="G16" s="28"/>
      <c r="H16" s="29"/>
    </row>
    <row r="17" spans="1:8" x14ac:dyDescent="0.25">
      <c r="A17" s="15" t="s">
        <v>118</v>
      </c>
      <c r="B17" s="36" t="s">
        <v>121</v>
      </c>
      <c r="C17" s="28"/>
      <c r="D17" s="28"/>
      <c r="E17" s="29"/>
      <c r="F17" s="36" t="s">
        <v>122</v>
      </c>
      <c r="G17" s="28"/>
      <c r="H17" s="29"/>
    </row>
    <row r="18" spans="1:8" ht="15.75" customHeight="1" x14ac:dyDescent="0.25"/>
    <row r="19" spans="1:8" ht="21.75" customHeight="1" x14ac:dyDescent="0.25">
      <c r="A19" s="40" t="s">
        <v>123</v>
      </c>
      <c r="B19" s="31"/>
      <c r="C19" s="31"/>
      <c r="D19" s="31"/>
      <c r="E19" s="31"/>
      <c r="F19" s="31"/>
      <c r="G19" s="31"/>
      <c r="H19" s="31"/>
    </row>
    <row r="20" spans="1:8" ht="15.75" customHeight="1" x14ac:dyDescent="0.25">
      <c r="A20" s="2" t="s">
        <v>124</v>
      </c>
      <c r="B20" s="38" t="s">
        <v>125</v>
      </c>
      <c r="C20" s="29"/>
      <c r="D20" s="38" t="s">
        <v>126</v>
      </c>
      <c r="E20" s="29"/>
      <c r="F20" s="38" t="s">
        <v>127</v>
      </c>
      <c r="G20" s="28"/>
      <c r="H20" s="29"/>
    </row>
    <row r="21" spans="1:8" ht="31.5" customHeight="1" x14ac:dyDescent="0.25">
      <c r="A21" s="16" t="s">
        <v>128</v>
      </c>
      <c r="B21" s="27" t="s">
        <v>129</v>
      </c>
      <c r="C21" s="29"/>
      <c r="D21" s="39" t="s">
        <v>130</v>
      </c>
      <c r="E21" s="29"/>
      <c r="F21" s="36" t="s">
        <v>131</v>
      </c>
      <c r="G21" s="28"/>
      <c r="H21" s="29"/>
    </row>
    <row r="22" spans="1:8" ht="31.5" customHeight="1" x14ac:dyDescent="0.25">
      <c r="A22" s="16" t="s">
        <v>132</v>
      </c>
      <c r="B22" s="27" t="s">
        <v>133</v>
      </c>
      <c r="C22" s="29"/>
      <c r="D22" s="39" t="s">
        <v>130</v>
      </c>
      <c r="E22" s="29"/>
      <c r="F22" s="36" t="s">
        <v>134</v>
      </c>
      <c r="G22" s="28"/>
      <c r="H22" s="29"/>
    </row>
    <row r="23" spans="1:8" ht="31.5" customHeight="1" x14ac:dyDescent="0.25">
      <c r="A23" s="16" t="s">
        <v>105</v>
      </c>
      <c r="B23" s="27" t="s">
        <v>135</v>
      </c>
      <c r="C23" s="29"/>
      <c r="D23" s="39" t="s">
        <v>130</v>
      </c>
      <c r="E23" s="29"/>
      <c r="F23" s="36" t="s">
        <v>136</v>
      </c>
      <c r="G23" s="28"/>
      <c r="H23" s="29"/>
    </row>
    <row r="24" spans="1:8" ht="31.5" customHeight="1" x14ac:dyDescent="0.25">
      <c r="A24" s="16" t="s">
        <v>137</v>
      </c>
      <c r="B24" s="27" t="s">
        <v>138</v>
      </c>
      <c r="C24" s="29"/>
      <c r="D24" s="39" t="s">
        <v>130</v>
      </c>
      <c r="E24" s="29"/>
      <c r="F24" s="36" t="s">
        <v>139</v>
      </c>
      <c r="G24" s="28"/>
      <c r="H24" s="29"/>
    </row>
    <row r="25" spans="1:8" ht="15.75" customHeight="1" x14ac:dyDescent="0.25"/>
    <row r="26" spans="1:8" ht="21.75" customHeight="1" x14ac:dyDescent="0.25">
      <c r="A26" s="40" t="s">
        <v>140</v>
      </c>
      <c r="B26" s="31"/>
      <c r="C26" s="31"/>
      <c r="D26" s="31"/>
      <c r="E26" s="31"/>
      <c r="F26" s="31"/>
      <c r="G26" s="31"/>
      <c r="H26" s="31"/>
    </row>
    <row r="27" spans="1:8" ht="15.75" customHeight="1" x14ac:dyDescent="0.25">
      <c r="A27" s="2" t="s">
        <v>141</v>
      </c>
      <c r="B27" s="2" t="s">
        <v>142</v>
      </c>
      <c r="C27" s="2" t="s">
        <v>143</v>
      </c>
      <c r="D27" s="2" t="s">
        <v>144</v>
      </c>
      <c r="E27" s="2" t="s">
        <v>145</v>
      </c>
      <c r="F27" s="2" t="s">
        <v>146</v>
      </c>
      <c r="G27" s="2" t="s">
        <v>25</v>
      </c>
      <c r="H27" s="2" t="s">
        <v>147</v>
      </c>
    </row>
    <row r="28" spans="1:8" ht="43.5" customHeight="1" x14ac:dyDescent="0.25">
      <c r="A28" s="3" t="s">
        <v>148</v>
      </c>
      <c r="B28" s="17" t="s">
        <v>149</v>
      </c>
      <c r="C28" s="17" t="s">
        <v>150</v>
      </c>
      <c r="D28" s="5" t="s">
        <v>107</v>
      </c>
      <c r="E28" s="5" t="s">
        <v>151</v>
      </c>
      <c r="F28" s="5" t="s">
        <v>135</v>
      </c>
      <c r="G28" s="6" t="s">
        <v>152</v>
      </c>
      <c r="H28" s="17" t="s">
        <v>153</v>
      </c>
    </row>
    <row r="29" spans="1:8" ht="43.5" customHeight="1" x14ac:dyDescent="0.25">
      <c r="A29" s="3" t="s">
        <v>154</v>
      </c>
      <c r="B29" s="17" t="s">
        <v>155</v>
      </c>
      <c r="C29" s="17" t="s">
        <v>156</v>
      </c>
      <c r="D29" s="5" t="s">
        <v>157</v>
      </c>
      <c r="E29" s="5" t="s">
        <v>158</v>
      </c>
      <c r="F29" s="5" t="s">
        <v>135</v>
      </c>
      <c r="G29" s="18" t="s">
        <v>159</v>
      </c>
      <c r="H29" s="17" t="s">
        <v>160</v>
      </c>
    </row>
    <row r="30" spans="1:8" ht="43.5" customHeight="1" x14ac:dyDescent="0.25">
      <c r="A30" s="3" t="s">
        <v>161</v>
      </c>
      <c r="B30" s="17" t="s">
        <v>162</v>
      </c>
      <c r="C30" s="17" t="s">
        <v>163</v>
      </c>
      <c r="D30" s="5" t="s">
        <v>164</v>
      </c>
      <c r="E30" s="5" t="s">
        <v>165</v>
      </c>
      <c r="F30" s="5" t="s">
        <v>135</v>
      </c>
      <c r="G30" s="18" t="s">
        <v>159</v>
      </c>
      <c r="H30" s="17" t="s">
        <v>166</v>
      </c>
    </row>
    <row r="31" spans="1:8" ht="43.5" customHeight="1" x14ac:dyDescent="0.25">
      <c r="A31" s="3" t="s">
        <v>167</v>
      </c>
      <c r="B31" s="17" t="s">
        <v>168</v>
      </c>
      <c r="C31" s="17" t="s">
        <v>169</v>
      </c>
      <c r="D31" s="5" t="s">
        <v>170</v>
      </c>
      <c r="E31" s="5" t="s">
        <v>171</v>
      </c>
      <c r="F31" s="5" t="s">
        <v>135</v>
      </c>
      <c r="G31" s="18" t="s">
        <v>159</v>
      </c>
      <c r="H31" s="17" t="s">
        <v>172</v>
      </c>
    </row>
    <row r="32" spans="1:8" ht="43.5" customHeight="1" x14ac:dyDescent="0.25">
      <c r="A32" s="3" t="s">
        <v>173</v>
      </c>
      <c r="B32" s="17" t="s">
        <v>174</v>
      </c>
      <c r="C32" s="17" t="s">
        <v>175</v>
      </c>
      <c r="D32" s="5" t="s">
        <v>176</v>
      </c>
      <c r="E32" s="5" t="s">
        <v>177</v>
      </c>
      <c r="F32" s="5" t="s">
        <v>135</v>
      </c>
      <c r="G32" s="18" t="s">
        <v>159</v>
      </c>
      <c r="H32" s="17" t="s">
        <v>178</v>
      </c>
    </row>
    <row r="33" spans="1:8" ht="43.5" customHeight="1" x14ac:dyDescent="0.25">
      <c r="A33" s="3" t="s">
        <v>179</v>
      </c>
      <c r="B33" s="17" t="s">
        <v>180</v>
      </c>
      <c r="C33" s="17" t="s">
        <v>181</v>
      </c>
      <c r="D33" s="5" t="s">
        <v>182</v>
      </c>
      <c r="E33" s="5" t="s">
        <v>183</v>
      </c>
      <c r="F33" s="5" t="s">
        <v>135</v>
      </c>
      <c r="G33" s="18" t="s">
        <v>159</v>
      </c>
      <c r="H33" s="17" t="s">
        <v>184</v>
      </c>
    </row>
    <row r="34" spans="1:8" ht="15.75" customHeight="1" x14ac:dyDescent="0.25">
      <c r="A34" s="3" t="s">
        <v>185</v>
      </c>
      <c r="B34" s="17" t="s">
        <v>186</v>
      </c>
      <c r="C34" s="17" t="s">
        <v>187</v>
      </c>
      <c r="D34" s="5" t="s">
        <v>188</v>
      </c>
      <c r="E34" s="5" t="s">
        <v>189</v>
      </c>
      <c r="F34" s="5" t="s">
        <v>135</v>
      </c>
      <c r="G34" s="18" t="s">
        <v>159</v>
      </c>
      <c r="H34" s="17" t="s">
        <v>190</v>
      </c>
    </row>
    <row r="35" spans="1:8" ht="21.75" customHeight="1" x14ac:dyDescent="0.25">
      <c r="A35" s="40" t="s">
        <v>191</v>
      </c>
      <c r="B35" s="31"/>
      <c r="C35" s="31"/>
      <c r="D35" s="31"/>
      <c r="E35" s="31"/>
      <c r="F35" s="31"/>
      <c r="G35" s="31"/>
      <c r="H35" s="31"/>
    </row>
    <row r="36" spans="1:8" ht="15.75" customHeight="1" x14ac:dyDescent="0.25">
      <c r="A36" s="1" t="s">
        <v>192</v>
      </c>
      <c r="B36" s="36" t="s">
        <v>193</v>
      </c>
      <c r="C36" s="28"/>
      <c r="D36" s="28"/>
      <c r="E36" s="28"/>
      <c r="F36" s="28"/>
      <c r="G36" s="28"/>
      <c r="H36" s="29"/>
    </row>
    <row r="37" spans="1:8" ht="36" customHeight="1" x14ac:dyDescent="0.25">
      <c r="A37" s="1" t="s">
        <v>194</v>
      </c>
      <c r="B37" s="36" t="s">
        <v>195</v>
      </c>
      <c r="C37" s="28"/>
      <c r="D37" s="28"/>
      <c r="E37" s="28"/>
      <c r="F37" s="28"/>
      <c r="G37" s="28"/>
      <c r="H37" s="29"/>
    </row>
    <row r="38" spans="1:8" ht="15.75" customHeight="1" x14ac:dyDescent="0.25">
      <c r="A38" s="1" t="s">
        <v>196</v>
      </c>
      <c r="B38" s="36" t="s">
        <v>197</v>
      </c>
      <c r="C38" s="28"/>
      <c r="D38" s="28"/>
      <c r="E38" s="28"/>
      <c r="F38" s="28"/>
      <c r="G38" s="28"/>
      <c r="H38" s="29"/>
    </row>
    <row r="39" spans="1:8" ht="15.75" customHeight="1" x14ac:dyDescent="0.25">
      <c r="A39" s="1" t="s">
        <v>198</v>
      </c>
      <c r="B39" s="36" t="s">
        <v>199</v>
      </c>
      <c r="C39" s="28"/>
      <c r="D39" s="28"/>
      <c r="E39" s="28"/>
      <c r="F39" s="28"/>
      <c r="G39" s="28"/>
      <c r="H39" s="29"/>
    </row>
    <row r="40" spans="1:8" ht="15.75" customHeight="1" x14ac:dyDescent="0.25"/>
    <row r="41" spans="1:8" ht="21.75" customHeight="1" x14ac:dyDescent="0.25">
      <c r="A41" s="40" t="s">
        <v>200</v>
      </c>
      <c r="B41" s="31"/>
      <c r="C41" s="31"/>
      <c r="D41" s="31"/>
      <c r="E41" s="31"/>
      <c r="F41" s="31"/>
      <c r="G41" s="31"/>
      <c r="H41" s="31"/>
    </row>
    <row r="42" spans="1:8" ht="15.75" customHeight="1" x14ac:dyDescent="0.25">
      <c r="A42" s="2" t="s">
        <v>118</v>
      </c>
      <c r="B42" s="2" t="s">
        <v>201</v>
      </c>
      <c r="C42" s="2" t="s">
        <v>202</v>
      </c>
      <c r="D42" s="2" t="s">
        <v>203</v>
      </c>
      <c r="E42" s="38" t="s">
        <v>204</v>
      </c>
      <c r="F42" s="28"/>
      <c r="G42" s="28"/>
      <c r="H42" s="29"/>
    </row>
    <row r="43" spans="1:8" ht="39.75" customHeight="1" x14ac:dyDescent="0.25">
      <c r="A43" s="15" t="s">
        <v>205</v>
      </c>
      <c r="B43" s="17" t="s">
        <v>206</v>
      </c>
      <c r="C43" s="5" t="s">
        <v>207</v>
      </c>
      <c r="D43" s="5" t="s">
        <v>130</v>
      </c>
      <c r="E43" s="36" t="s">
        <v>208</v>
      </c>
      <c r="F43" s="28"/>
      <c r="G43" s="28"/>
      <c r="H43" s="29"/>
    </row>
    <row r="44" spans="1:8" ht="39.75" customHeight="1" x14ac:dyDescent="0.25">
      <c r="A44" s="15" t="s">
        <v>209</v>
      </c>
      <c r="B44" s="17" t="s">
        <v>210</v>
      </c>
      <c r="C44" s="5" t="s">
        <v>207</v>
      </c>
      <c r="D44" s="5" t="s">
        <v>130</v>
      </c>
      <c r="E44" s="36" t="s">
        <v>211</v>
      </c>
      <c r="F44" s="28"/>
      <c r="G44" s="28"/>
      <c r="H44" s="29"/>
    </row>
    <row r="45" spans="1:8" ht="39.75" customHeight="1" x14ac:dyDescent="0.25">
      <c r="A45" s="15" t="s">
        <v>212</v>
      </c>
      <c r="B45" s="17" t="s">
        <v>213</v>
      </c>
      <c r="C45" s="5" t="s">
        <v>130</v>
      </c>
      <c r="D45" s="5" t="s">
        <v>207</v>
      </c>
      <c r="E45" s="36" t="s">
        <v>214</v>
      </c>
      <c r="F45" s="28"/>
      <c r="G45" s="28"/>
      <c r="H45" s="29"/>
    </row>
    <row r="46" spans="1:8" ht="39.75" customHeight="1" x14ac:dyDescent="0.25">
      <c r="A46" s="15" t="s">
        <v>215</v>
      </c>
      <c r="B46" s="17" t="s">
        <v>216</v>
      </c>
      <c r="C46" s="5" t="s">
        <v>130</v>
      </c>
      <c r="D46" s="5" t="s">
        <v>130</v>
      </c>
      <c r="E46" s="36" t="s">
        <v>217</v>
      </c>
      <c r="F46" s="28"/>
      <c r="G46" s="28"/>
      <c r="H46" s="29"/>
    </row>
    <row r="47" spans="1:8" ht="39.75" customHeight="1" x14ac:dyDescent="0.25">
      <c r="A47" s="15" t="s">
        <v>218</v>
      </c>
      <c r="B47" s="17" t="s">
        <v>219</v>
      </c>
      <c r="C47" s="5" t="s">
        <v>220</v>
      </c>
      <c r="D47" s="5" t="s">
        <v>130</v>
      </c>
      <c r="E47" s="36" t="s">
        <v>221</v>
      </c>
      <c r="F47" s="28"/>
      <c r="G47" s="28"/>
      <c r="H47" s="29"/>
    </row>
    <row r="48" spans="1:8" ht="15.75" customHeight="1" x14ac:dyDescent="0.25"/>
    <row r="49" spans="1:8" ht="21.75" customHeight="1" x14ac:dyDescent="0.25">
      <c r="A49" s="40" t="s">
        <v>222</v>
      </c>
      <c r="B49" s="31"/>
      <c r="C49" s="31"/>
      <c r="D49" s="31"/>
      <c r="E49" s="31"/>
      <c r="F49" s="31"/>
      <c r="G49" s="31"/>
      <c r="H49" s="31"/>
    </row>
    <row r="50" spans="1:8" ht="15.75" customHeight="1" x14ac:dyDescent="0.25">
      <c r="A50" s="2" t="s">
        <v>118</v>
      </c>
      <c r="B50" s="38" t="s">
        <v>223</v>
      </c>
      <c r="C50" s="28"/>
      <c r="D50" s="29"/>
      <c r="E50" s="2" t="s">
        <v>224</v>
      </c>
      <c r="F50" s="38" t="s">
        <v>225</v>
      </c>
      <c r="G50" s="28"/>
      <c r="H50" s="29"/>
    </row>
    <row r="51" spans="1:8" ht="30" customHeight="1" x14ac:dyDescent="0.25">
      <c r="A51" s="15" t="s">
        <v>205</v>
      </c>
      <c r="B51" s="36" t="s">
        <v>226</v>
      </c>
      <c r="C51" s="28"/>
      <c r="D51" s="29"/>
      <c r="E51" s="5" t="s">
        <v>227</v>
      </c>
      <c r="F51" s="36" t="s">
        <v>228</v>
      </c>
      <c r="G51" s="28"/>
      <c r="H51" s="29"/>
    </row>
    <row r="52" spans="1:8" ht="30" customHeight="1" x14ac:dyDescent="0.25">
      <c r="A52" s="15" t="s">
        <v>209</v>
      </c>
      <c r="B52" s="36" t="s">
        <v>229</v>
      </c>
      <c r="C52" s="28"/>
      <c r="D52" s="29"/>
      <c r="E52" s="5" t="s">
        <v>230</v>
      </c>
      <c r="F52" s="36" t="s">
        <v>231</v>
      </c>
      <c r="G52" s="28"/>
      <c r="H52" s="29"/>
    </row>
    <row r="53" spans="1:8" ht="30" customHeight="1" x14ac:dyDescent="0.25">
      <c r="A53" s="15" t="s">
        <v>212</v>
      </c>
      <c r="B53" s="36" t="s">
        <v>232</v>
      </c>
      <c r="C53" s="28"/>
      <c r="D53" s="29"/>
      <c r="E53" s="5" t="s">
        <v>233</v>
      </c>
      <c r="F53" s="36" t="s">
        <v>234</v>
      </c>
      <c r="G53" s="28"/>
      <c r="H53" s="29"/>
    </row>
    <row r="54" spans="1:8" ht="30" customHeight="1" x14ac:dyDescent="0.25">
      <c r="A54" s="15" t="s">
        <v>215</v>
      </c>
      <c r="B54" s="36" t="s">
        <v>235</v>
      </c>
      <c r="C54" s="28"/>
      <c r="D54" s="29"/>
      <c r="E54" s="5" t="s">
        <v>236</v>
      </c>
      <c r="F54" s="36" t="s">
        <v>237</v>
      </c>
      <c r="G54" s="28"/>
      <c r="H54" s="29"/>
    </row>
    <row r="55" spans="1:8" ht="15.75" customHeight="1" x14ac:dyDescent="0.25"/>
    <row r="56" spans="1:8" ht="21.75" customHeight="1" x14ac:dyDescent="0.25">
      <c r="A56" s="40" t="s">
        <v>238</v>
      </c>
      <c r="B56" s="31"/>
      <c r="C56" s="31"/>
      <c r="D56" s="31"/>
      <c r="E56" s="31"/>
      <c r="F56" s="31"/>
      <c r="G56" s="31"/>
      <c r="H56" s="31"/>
    </row>
    <row r="57" spans="1:8" ht="15.75" customHeight="1" x14ac:dyDescent="0.25">
      <c r="A57" s="2" t="s">
        <v>124</v>
      </c>
      <c r="B57" s="38" t="s">
        <v>239</v>
      </c>
      <c r="C57" s="28"/>
      <c r="D57" s="29"/>
      <c r="E57" s="38" t="s">
        <v>240</v>
      </c>
      <c r="F57" s="29"/>
      <c r="G57" s="38" t="s">
        <v>241</v>
      </c>
      <c r="H57" s="29"/>
    </row>
    <row r="58" spans="1:8" ht="25.5" customHeight="1" x14ac:dyDescent="0.25">
      <c r="A58" s="16" t="s">
        <v>242</v>
      </c>
      <c r="B58" s="27" t="s">
        <v>9</v>
      </c>
      <c r="C58" s="28"/>
      <c r="D58" s="29"/>
      <c r="E58" s="39" t="s">
        <v>243</v>
      </c>
      <c r="F58" s="29"/>
      <c r="G58" s="39"/>
      <c r="H58" s="29"/>
    </row>
    <row r="59" spans="1:8" ht="25.5" customHeight="1" x14ac:dyDescent="0.25">
      <c r="A59" s="16" t="s">
        <v>10</v>
      </c>
      <c r="B59" s="27" t="s">
        <v>138</v>
      </c>
      <c r="C59" s="28"/>
      <c r="D59" s="29"/>
      <c r="E59" s="39" t="s">
        <v>244</v>
      </c>
      <c r="F59" s="29"/>
      <c r="G59" s="39"/>
      <c r="H59" s="29"/>
    </row>
    <row r="60" spans="1:8" ht="25.5" customHeight="1" x14ac:dyDescent="0.25">
      <c r="A60" s="16" t="s">
        <v>245</v>
      </c>
      <c r="B60" s="27" t="s">
        <v>246</v>
      </c>
      <c r="C60" s="28"/>
      <c r="D60" s="29"/>
      <c r="E60" s="39" t="s">
        <v>244</v>
      </c>
      <c r="F60" s="29"/>
      <c r="G60" s="39"/>
      <c r="H60" s="29"/>
    </row>
    <row r="61" spans="1:8" ht="15.75" customHeight="1" x14ac:dyDescent="0.25"/>
    <row r="62" spans="1:8" ht="15.75" customHeight="1" x14ac:dyDescent="0.25"/>
    <row r="63" spans="1:8" ht="15.75" customHeight="1" x14ac:dyDescent="0.25"/>
    <row r="64" spans="1: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sheetData>
  <mergeCells count="69">
    <mergeCell ref="A10:H10"/>
    <mergeCell ref="D23:E23"/>
    <mergeCell ref="B58:D58"/>
    <mergeCell ref="B38:H38"/>
    <mergeCell ref="E46:H46"/>
    <mergeCell ref="B52:D52"/>
    <mergeCell ref="A19:H19"/>
    <mergeCell ref="F21:H21"/>
    <mergeCell ref="B37:H37"/>
    <mergeCell ref="F24:H24"/>
    <mergeCell ref="F51:H51"/>
    <mergeCell ref="A2:H2"/>
    <mergeCell ref="B12:H12"/>
    <mergeCell ref="B50:D50"/>
    <mergeCell ref="B39:H39"/>
    <mergeCell ref="G58:H58"/>
    <mergeCell ref="E44:H44"/>
    <mergeCell ref="B11:H11"/>
    <mergeCell ref="F53:H53"/>
    <mergeCell ref="B54:D54"/>
    <mergeCell ref="E57:F57"/>
    <mergeCell ref="A4:H4"/>
    <mergeCell ref="F54:H54"/>
    <mergeCell ref="B8:H8"/>
    <mergeCell ref="F16:H16"/>
    <mergeCell ref="B17:E17"/>
    <mergeCell ref="B24:C24"/>
    <mergeCell ref="A1:H1"/>
    <mergeCell ref="B53:D53"/>
    <mergeCell ref="B5:H5"/>
    <mergeCell ref="D21:E21"/>
    <mergeCell ref="F23:H23"/>
    <mergeCell ref="B36:H36"/>
    <mergeCell ref="B21:C21"/>
    <mergeCell ref="F22:H22"/>
    <mergeCell ref="E47:H47"/>
    <mergeCell ref="E43:H43"/>
    <mergeCell ref="B16:E16"/>
    <mergeCell ref="B23:C23"/>
    <mergeCell ref="A41:H41"/>
    <mergeCell ref="B7:H7"/>
    <mergeCell ref="F52:H52"/>
    <mergeCell ref="E42:H42"/>
    <mergeCell ref="A15:H15"/>
    <mergeCell ref="B57:D57"/>
    <mergeCell ref="F50:H50"/>
    <mergeCell ref="B6:H6"/>
    <mergeCell ref="B22:C22"/>
    <mergeCell ref="A49:H49"/>
    <mergeCell ref="F17:H17"/>
    <mergeCell ref="D22:E22"/>
    <mergeCell ref="G57:H57"/>
    <mergeCell ref="B51:D51"/>
    <mergeCell ref="A56:H56"/>
    <mergeCell ref="A26:H26"/>
    <mergeCell ref="B13:H13"/>
    <mergeCell ref="D24:E24"/>
    <mergeCell ref="A35:H35"/>
    <mergeCell ref="B20:C20"/>
    <mergeCell ref="F20:H20"/>
    <mergeCell ref="G59:H59"/>
    <mergeCell ref="D20:E20"/>
    <mergeCell ref="E45:H45"/>
    <mergeCell ref="B60:D60"/>
    <mergeCell ref="E60:F60"/>
    <mergeCell ref="E59:F59"/>
    <mergeCell ref="E58:F58"/>
    <mergeCell ref="B59:D59"/>
    <mergeCell ref="G60:H60"/>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showGridLines="0" zoomScale="85" zoomScaleNormal="85" workbookViewId="0">
      <pane ySplit="2" topLeftCell="A3" activePane="bottomLeft" state="frozen"/>
      <selection pane="bottomLeft" activeCell="H5" sqref="H5"/>
    </sheetView>
  </sheetViews>
  <sheetFormatPr defaultColWidth="14.42578125" defaultRowHeight="15" customHeight="1" x14ac:dyDescent="0.25"/>
  <cols>
    <col min="1" max="1" width="10" customWidth="1"/>
    <col min="2" max="2" width="36.5703125" customWidth="1"/>
    <col min="3" max="3" width="17.42578125" customWidth="1"/>
    <col min="4" max="4" width="50" customWidth="1"/>
    <col min="5" max="5" width="19.85546875" customWidth="1"/>
    <col min="6" max="6" width="12" customWidth="1"/>
    <col min="7" max="7" width="27.42578125" customWidth="1"/>
    <col min="8" max="8" width="34" customWidth="1"/>
  </cols>
  <sheetData>
    <row r="1" spans="1:8" ht="27.75" customHeight="1" x14ac:dyDescent="0.35">
      <c r="A1" s="46" t="s">
        <v>247</v>
      </c>
      <c r="B1" s="31"/>
      <c r="C1" s="31"/>
      <c r="D1" s="31"/>
      <c r="E1" s="31"/>
      <c r="F1" s="31"/>
      <c r="G1" s="31"/>
      <c r="H1" s="31"/>
    </row>
    <row r="2" spans="1:8" x14ac:dyDescent="0.25">
      <c r="A2" s="19" t="s">
        <v>248</v>
      </c>
      <c r="B2" s="19" t="s">
        <v>249</v>
      </c>
      <c r="C2" s="19" t="s">
        <v>250</v>
      </c>
      <c r="D2" s="19" t="s">
        <v>143</v>
      </c>
      <c r="E2" s="19" t="s">
        <v>251</v>
      </c>
      <c r="F2" s="19" t="s">
        <v>252</v>
      </c>
      <c r="G2" s="19" t="s">
        <v>25</v>
      </c>
      <c r="H2" s="19" t="s">
        <v>46</v>
      </c>
    </row>
    <row r="3" spans="1:8" ht="21.75" customHeight="1" x14ac:dyDescent="0.25">
      <c r="A3" s="43" t="s">
        <v>253</v>
      </c>
      <c r="B3" s="44"/>
      <c r="C3" s="44"/>
      <c r="D3" s="44"/>
      <c r="E3" s="44"/>
      <c r="F3" s="44"/>
      <c r="G3" s="44"/>
      <c r="H3" s="45"/>
    </row>
    <row r="4" spans="1:8" ht="33.75" customHeight="1" x14ac:dyDescent="0.25">
      <c r="A4" s="23" t="s">
        <v>254</v>
      </c>
      <c r="B4" s="22" t="s">
        <v>255</v>
      </c>
      <c r="C4" s="23" t="s">
        <v>256</v>
      </c>
      <c r="D4" s="22" t="s">
        <v>257</v>
      </c>
      <c r="E4" s="22" t="s">
        <v>105</v>
      </c>
      <c r="F4" s="23" t="s">
        <v>258</v>
      </c>
      <c r="G4" s="24" t="s">
        <v>152</v>
      </c>
      <c r="H4" s="22" t="s">
        <v>259</v>
      </c>
    </row>
    <row r="5" spans="1:8" ht="33.75" customHeight="1" x14ac:dyDescent="0.25">
      <c r="A5" s="23" t="s">
        <v>260</v>
      </c>
      <c r="B5" s="22" t="s">
        <v>261</v>
      </c>
      <c r="C5" s="23" t="s">
        <v>256</v>
      </c>
      <c r="D5" s="22" t="s">
        <v>262</v>
      </c>
      <c r="E5" s="22" t="s">
        <v>105</v>
      </c>
      <c r="F5" s="23" t="s">
        <v>151</v>
      </c>
      <c r="G5" s="24" t="s">
        <v>24</v>
      </c>
      <c r="H5" s="22" t="s">
        <v>263</v>
      </c>
    </row>
    <row r="6" spans="1:8" ht="33.75" customHeight="1" x14ac:dyDescent="0.25">
      <c r="A6" s="23" t="s">
        <v>264</v>
      </c>
      <c r="B6" s="22" t="s">
        <v>265</v>
      </c>
      <c r="C6" s="23" t="s">
        <v>256</v>
      </c>
      <c r="D6" s="22" t="s">
        <v>266</v>
      </c>
      <c r="E6" s="22" t="s">
        <v>105</v>
      </c>
      <c r="F6" s="23" t="s">
        <v>151</v>
      </c>
      <c r="G6" s="24" t="s">
        <v>24</v>
      </c>
      <c r="H6" s="22" t="s">
        <v>267</v>
      </c>
    </row>
    <row r="7" spans="1:8" ht="33.75" customHeight="1" x14ac:dyDescent="0.25">
      <c r="A7" s="43" t="s">
        <v>268</v>
      </c>
      <c r="B7" s="44"/>
      <c r="C7" s="44"/>
      <c r="D7" s="44"/>
      <c r="E7" s="44"/>
      <c r="F7" s="44"/>
      <c r="G7" s="44"/>
      <c r="H7" s="45"/>
    </row>
    <row r="8" spans="1:8" ht="33.75" customHeight="1" x14ac:dyDescent="0.25">
      <c r="A8" s="23" t="s">
        <v>269</v>
      </c>
      <c r="B8" s="22" t="s">
        <v>270</v>
      </c>
      <c r="C8" s="23" t="s">
        <v>271</v>
      </c>
      <c r="D8" s="22" t="s">
        <v>272</v>
      </c>
      <c r="E8" s="22" t="s">
        <v>105</v>
      </c>
      <c r="F8" s="23" t="s">
        <v>273</v>
      </c>
      <c r="G8" s="23" t="s">
        <v>159</v>
      </c>
      <c r="H8" s="22" t="s">
        <v>274</v>
      </c>
    </row>
    <row r="9" spans="1:8" ht="33.75" customHeight="1" x14ac:dyDescent="0.25">
      <c r="A9" s="23" t="s">
        <v>275</v>
      </c>
      <c r="B9" s="22" t="s">
        <v>276</v>
      </c>
      <c r="C9" s="23" t="s">
        <v>256</v>
      </c>
      <c r="D9" s="22" t="s">
        <v>277</v>
      </c>
      <c r="E9" s="22" t="s">
        <v>105</v>
      </c>
      <c r="F9" s="23" t="s">
        <v>278</v>
      </c>
      <c r="G9" s="23" t="s">
        <v>159</v>
      </c>
      <c r="H9" s="22" t="s">
        <v>279</v>
      </c>
    </row>
    <row r="10" spans="1:8" ht="33.75" customHeight="1" x14ac:dyDescent="0.25">
      <c r="A10" s="23" t="s">
        <v>280</v>
      </c>
      <c r="B10" s="22" t="s">
        <v>281</v>
      </c>
      <c r="C10" s="23" t="s">
        <v>271</v>
      </c>
      <c r="D10" s="22" t="s">
        <v>282</v>
      </c>
      <c r="E10" s="22" t="s">
        <v>105</v>
      </c>
      <c r="F10" s="23" t="s">
        <v>158</v>
      </c>
      <c r="G10" s="23" t="s">
        <v>159</v>
      </c>
      <c r="H10" s="22" t="s">
        <v>283</v>
      </c>
    </row>
    <row r="11" spans="1:8" ht="33.75" customHeight="1" x14ac:dyDescent="0.25">
      <c r="A11" s="23" t="s">
        <v>284</v>
      </c>
      <c r="B11" s="22" t="s">
        <v>285</v>
      </c>
      <c r="C11" s="23" t="s">
        <v>256</v>
      </c>
      <c r="D11" s="22" t="s">
        <v>286</v>
      </c>
      <c r="E11" s="22" t="s">
        <v>105</v>
      </c>
      <c r="F11" s="23" t="s">
        <v>158</v>
      </c>
      <c r="G11" s="23" t="s">
        <v>159</v>
      </c>
      <c r="H11" s="22" t="s">
        <v>287</v>
      </c>
    </row>
    <row r="12" spans="1:8" ht="33.75" customHeight="1" x14ac:dyDescent="0.25">
      <c r="A12" s="43" t="s">
        <v>288</v>
      </c>
      <c r="B12" s="44"/>
      <c r="C12" s="44"/>
      <c r="D12" s="44"/>
      <c r="E12" s="44"/>
      <c r="F12" s="44"/>
      <c r="G12" s="44"/>
      <c r="H12" s="45"/>
    </row>
    <row r="13" spans="1:8" ht="21.75" customHeight="1" x14ac:dyDescent="0.25">
      <c r="A13" s="23" t="s">
        <v>289</v>
      </c>
      <c r="B13" s="22" t="s">
        <v>290</v>
      </c>
      <c r="C13" s="23" t="s">
        <v>271</v>
      </c>
      <c r="D13" s="22" t="s">
        <v>291</v>
      </c>
      <c r="E13" s="22" t="s">
        <v>105</v>
      </c>
      <c r="F13" s="23" t="s">
        <v>292</v>
      </c>
      <c r="G13" s="23" t="s">
        <v>159</v>
      </c>
      <c r="H13" s="22" t="s">
        <v>293</v>
      </c>
    </row>
    <row r="14" spans="1:8" ht="33.75" customHeight="1" x14ac:dyDescent="0.25">
      <c r="A14" s="23" t="s">
        <v>294</v>
      </c>
      <c r="B14" s="22" t="s">
        <v>295</v>
      </c>
      <c r="C14" s="23" t="s">
        <v>271</v>
      </c>
      <c r="D14" s="22" t="s">
        <v>296</v>
      </c>
      <c r="E14" s="22" t="s">
        <v>105</v>
      </c>
      <c r="F14" s="23" t="s">
        <v>297</v>
      </c>
      <c r="G14" s="23" t="s">
        <v>159</v>
      </c>
      <c r="H14" s="22" t="s">
        <v>298</v>
      </c>
    </row>
    <row r="15" spans="1:8" ht="33.75" customHeight="1" x14ac:dyDescent="0.25">
      <c r="A15" s="23" t="s">
        <v>299</v>
      </c>
      <c r="B15" s="22" t="s">
        <v>300</v>
      </c>
      <c r="C15" s="23" t="s">
        <v>271</v>
      </c>
      <c r="D15" s="22" t="s">
        <v>301</v>
      </c>
      <c r="E15" s="22" t="s">
        <v>105</v>
      </c>
      <c r="F15" s="23" t="s">
        <v>165</v>
      </c>
      <c r="G15" s="23" t="s">
        <v>159</v>
      </c>
      <c r="H15" s="22" t="s">
        <v>302</v>
      </c>
    </row>
    <row r="16" spans="1:8" ht="33.75" customHeight="1" x14ac:dyDescent="0.25">
      <c r="A16" s="43" t="s">
        <v>303</v>
      </c>
      <c r="B16" s="44"/>
      <c r="C16" s="44"/>
      <c r="D16" s="44"/>
      <c r="E16" s="44"/>
      <c r="F16" s="44"/>
      <c r="G16" s="44"/>
      <c r="H16" s="45"/>
    </row>
    <row r="17" spans="1:8" ht="33.75" customHeight="1" x14ac:dyDescent="0.25">
      <c r="A17" s="23" t="s">
        <v>304</v>
      </c>
      <c r="B17" s="22" t="s">
        <v>305</v>
      </c>
      <c r="C17" s="23" t="s">
        <v>306</v>
      </c>
      <c r="D17" s="22" t="s">
        <v>307</v>
      </c>
      <c r="E17" s="22" t="s">
        <v>105</v>
      </c>
      <c r="F17" s="23" t="s">
        <v>308</v>
      </c>
      <c r="G17" s="23" t="s">
        <v>159</v>
      </c>
      <c r="H17" s="22" t="s">
        <v>309</v>
      </c>
    </row>
    <row r="18" spans="1:8" ht="33.75" customHeight="1" x14ac:dyDescent="0.25">
      <c r="A18" s="23" t="s">
        <v>310</v>
      </c>
      <c r="B18" s="22" t="s">
        <v>311</v>
      </c>
      <c r="C18" s="23" t="s">
        <v>306</v>
      </c>
      <c r="D18" s="22" t="s">
        <v>312</v>
      </c>
      <c r="E18" s="22" t="s">
        <v>105</v>
      </c>
      <c r="F18" s="23" t="s">
        <v>313</v>
      </c>
      <c r="G18" s="23" t="s">
        <v>159</v>
      </c>
      <c r="H18" s="22" t="s">
        <v>314</v>
      </c>
    </row>
    <row r="19" spans="1:8" ht="33.75" customHeight="1" x14ac:dyDescent="0.25">
      <c r="A19" s="23" t="s">
        <v>315</v>
      </c>
      <c r="B19" s="22" t="s">
        <v>316</v>
      </c>
      <c r="C19" s="23" t="s">
        <v>306</v>
      </c>
      <c r="D19" s="22" t="s">
        <v>317</v>
      </c>
      <c r="E19" s="22" t="s">
        <v>105</v>
      </c>
      <c r="F19" s="23" t="s">
        <v>171</v>
      </c>
      <c r="G19" s="23" t="s">
        <v>159</v>
      </c>
      <c r="H19" s="22" t="s">
        <v>318</v>
      </c>
    </row>
    <row r="20" spans="1:8" ht="33.75" customHeight="1" x14ac:dyDescent="0.25">
      <c r="A20" s="43" t="s">
        <v>319</v>
      </c>
      <c r="B20" s="44"/>
      <c r="C20" s="44"/>
      <c r="D20" s="44"/>
      <c r="E20" s="44"/>
      <c r="F20" s="44"/>
      <c r="G20" s="44"/>
      <c r="H20" s="45"/>
    </row>
    <row r="21" spans="1:8" ht="33.75" customHeight="1" x14ac:dyDescent="0.25">
      <c r="A21" s="23" t="s">
        <v>320</v>
      </c>
      <c r="B21" s="22" t="s">
        <v>321</v>
      </c>
      <c r="C21" s="23" t="s">
        <v>322</v>
      </c>
      <c r="D21" s="22" t="s">
        <v>323</v>
      </c>
      <c r="E21" s="22" t="s">
        <v>105</v>
      </c>
      <c r="F21" s="23" t="s">
        <v>324</v>
      </c>
      <c r="G21" s="23" t="s">
        <v>159</v>
      </c>
      <c r="H21" s="22" t="s">
        <v>325</v>
      </c>
    </row>
    <row r="22" spans="1:8" ht="33.75" customHeight="1" x14ac:dyDescent="0.25">
      <c r="A22" s="23" t="s">
        <v>326</v>
      </c>
      <c r="B22" s="22" t="s">
        <v>327</v>
      </c>
      <c r="C22" s="23" t="s">
        <v>322</v>
      </c>
      <c r="D22" s="22" t="s">
        <v>328</v>
      </c>
      <c r="E22" s="22" t="s">
        <v>105</v>
      </c>
      <c r="F22" s="23" t="s">
        <v>329</v>
      </c>
      <c r="G22" s="23" t="s">
        <v>159</v>
      </c>
      <c r="H22" s="22" t="s">
        <v>330</v>
      </c>
    </row>
    <row r="23" spans="1:8" ht="33.75" customHeight="1" x14ac:dyDescent="0.25">
      <c r="A23" s="23" t="s">
        <v>331</v>
      </c>
      <c r="B23" s="22" t="s">
        <v>332</v>
      </c>
      <c r="C23" s="23" t="s">
        <v>322</v>
      </c>
      <c r="D23" s="22" t="s">
        <v>333</v>
      </c>
      <c r="E23" s="22" t="s">
        <v>105</v>
      </c>
      <c r="F23" s="23" t="s">
        <v>334</v>
      </c>
      <c r="G23" s="23" t="s">
        <v>159</v>
      </c>
      <c r="H23" s="22" t="s">
        <v>335</v>
      </c>
    </row>
    <row r="24" spans="1:8" ht="21.75" customHeight="1" x14ac:dyDescent="0.25">
      <c r="A24" s="43" t="s">
        <v>336</v>
      </c>
      <c r="B24" s="44"/>
      <c r="C24" s="44"/>
      <c r="D24" s="44"/>
      <c r="E24" s="44"/>
      <c r="F24" s="44"/>
      <c r="G24" s="44"/>
      <c r="H24" s="45"/>
    </row>
    <row r="25" spans="1:8" ht="33.75" customHeight="1" x14ac:dyDescent="0.25">
      <c r="A25" s="23" t="s">
        <v>337</v>
      </c>
      <c r="B25" s="22" t="s">
        <v>338</v>
      </c>
      <c r="C25" s="23" t="s">
        <v>339</v>
      </c>
      <c r="D25" s="22" t="s">
        <v>340</v>
      </c>
      <c r="E25" s="22" t="s">
        <v>105</v>
      </c>
      <c r="F25" s="23" t="s">
        <v>341</v>
      </c>
      <c r="G25" s="23" t="s">
        <v>159</v>
      </c>
      <c r="H25" s="22" t="s">
        <v>342</v>
      </c>
    </row>
    <row r="26" spans="1:8" ht="33.75" customHeight="1" x14ac:dyDescent="0.25">
      <c r="A26" s="23" t="s">
        <v>343</v>
      </c>
      <c r="B26" s="22" t="s">
        <v>344</v>
      </c>
      <c r="C26" s="23" t="s">
        <v>345</v>
      </c>
      <c r="D26" s="22" t="s">
        <v>346</v>
      </c>
      <c r="E26" s="22" t="s">
        <v>105</v>
      </c>
      <c r="F26" s="23" t="s">
        <v>347</v>
      </c>
      <c r="G26" s="23" t="s">
        <v>159</v>
      </c>
      <c r="H26" s="22" t="s">
        <v>348</v>
      </c>
    </row>
    <row r="27" spans="1:8" ht="33.75" customHeight="1" x14ac:dyDescent="0.25">
      <c r="A27" s="23" t="s">
        <v>349</v>
      </c>
      <c r="B27" s="22" t="s">
        <v>350</v>
      </c>
      <c r="C27" s="23" t="s">
        <v>351</v>
      </c>
      <c r="D27" s="22" t="s">
        <v>352</v>
      </c>
      <c r="E27" s="22" t="s">
        <v>105</v>
      </c>
      <c r="F27" s="23" t="s">
        <v>183</v>
      </c>
      <c r="G27" s="23" t="s">
        <v>159</v>
      </c>
      <c r="H27" s="22" t="s">
        <v>353</v>
      </c>
    </row>
    <row r="28" spans="1:8" ht="33.75" customHeight="1" x14ac:dyDescent="0.25">
      <c r="A28" s="43" t="s">
        <v>354</v>
      </c>
      <c r="B28" s="44"/>
      <c r="C28" s="44"/>
      <c r="D28" s="44"/>
      <c r="E28" s="44"/>
      <c r="F28" s="44"/>
      <c r="G28" s="44"/>
      <c r="H28" s="45"/>
    </row>
    <row r="29" spans="1:8" ht="33.75" customHeight="1" x14ac:dyDescent="0.25">
      <c r="A29" s="23" t="s">
        <v>355</v>
      </c>
      <c r="B29" s="22" t="s">
        <v>356</v>
      </c>
      <c r="C29" s="23" t="s">
        <v>256</v>
      </c>
      <c r="D29" s="22" t="s">
        <v>357</v>
      </c>
      <c r="E29" s="22" t="s">
        <v>105</v>
      </c>
      <c r="F29" s="23" t="s">
        <v>358</v>
      </c>
      <c r="G29" s="23" t="s">
        <v>159</v>
      </c>
      <c r="H29" s="22" t="s">
        <v>359</v>
      </c>
    </row>
    <row r="30" spans="1:8" ht="33.75" customHeight="1" x14ac:dyDescent="0.25">
      <c r="A30" s="23" t="s">
        <v>360</v>
      </c>
      <c r="B30" s="22" t="s">
        <v>361</v>
      </c>
      <c r="C30" s="23" t="s">
        <v>256</v>
      </c>
      <c r="D30" s="22" t="s">
        <v>362</v>
      </c>
      <c r="E30" s="22" t="s">
        <v>105</v>
      </c>
      <c r="F30" s="23" t="s">
        <v>363</v>
      </c>
      <c r="G30" s="23" t="s">
        <v>159</v>
      </c>
      <c r="H30" s="22" t="s">
        <v>364</v>
      </c>
    </row>
    <row r="31" spans="1:8" ht="33.75" customHeight="1" x14ac:dyDescent="0.25">
      <c r="A31" s="23" t="s">
        <v>365</v>
      </c>
      <c r="B31" s="22" t="s">
        <v>366</v>
      </c>
      <c r="C31" s="23" t="s">
        <v>256</v>
      </c>
      <c r="D31" s="22" t="s">
        <v>367</v>
      </c>
      <c r="E31" s="22" t="s">
        <v>105</v>
      </c>
      <c r="F31" s="23" t="s">
        <v>189</v>
      </c>
      <c r="G31" s="23" t="s">
        <v>159</v>
      </c>
      <c r="H31" s="22" t="s">
        <v>368</v>
      </c>
    </row>
    <row r="32" spans="1:8" ht="21.75" customHeight="1" x14ac:dyDescent="0.25">
      <c r="A32" s="25"/>
      <c r="B32" s="25"/>
      <c r="C32" s="25"/>
      <c r="D32" s="25"/>
      <c r="E32" s="25"/>
      <c r="F32" s="25"/>
      <c r="G32" s="25"/>
      <c r="H32" s="25"/>
    </row>
    <row r="33" spans="1:8" ht="33.75" customHeight="1" x14ac:dyDescent="0.25">
      <c r="A33" s="25"/>
      <c r="B33" s="25"/>
      <c r="C33" s="25"/>
      <c r="D33" s="25"/>
      <c r="E33" s="25"/>
      <c r="F33" s="25"/>
      <c r="G33" s="25"/>
      <c r="H33" s="25"/>
    </row>
    <row r="34" spans="1:8" ht="33.75" customHeight="1" x14ac:dyDescent="0.25">
      <c r="A34" s="25"/>
      <c r="B34" s="25"/>
      <c r="C34" s="25"/>
      <c r="D34" s="25"/>
      <c r="E34" s="25"/>
      <c r="F34" s="25"/>
      <c r="G34" s="25"/>
      <c r="H34" s="25"/>
    </row>
    <row r="35" spans="1:8" ht="33.75" customHeight="1" x14ac:dyDescent="0.25">
      <c r="A35" s="25"/>
      <c r="B35" s="25"/>
      <c r="C35" s="25"/>
      <c r="D35" s="25"/>
      <c r="E35" s="25"/>
      <c r="F35" s="25"/>
      <c r="G35" s="25"/>
      <c r="H35" s="25"/>
    </row>
    <row r="36" spans="1:8" ht="33.75" customHeight="1" x14ac:dyDescent="0.25">
      <c r="A36" s="25"/>
      <c r="B36" s="25"/>
      <c r="C36" s="25"/>
      <c r="D36" s="25"/>
      <c r="E36" s="25"/>
      <c r="F36" s="25"/>
      <c r="G36" s="25"/>
      <c r="H36" s="25"/>
    </row>
    <row r="37" spans="1:8" ht="33.75" customHeight="1" x14ac:dyDescent="0.25">
      <c r="A37" s="25"/>
      <c r="B37" s="25"/>
      <c r="C37" s="25"/>
      <c r="D37" s="25"/>
      <c r="E37" s="25"/>
      <c r="F37" s="25"/>
      <c r="G37" s="25"/>
      <c r="H37" s="25"/>
    </row>
    <row r="38" spans="1:8" ht="33.75" customHeight="1" x14ac:dyDescent="0.25">
      <c r="A38" s="25"/>
      <c r="B38" s="25"/>
      <c r="C38" s="25"/>
      <c r="D38" s="25"/>
      <c r="E38" s="25"/>
      <c r="F38" s="25"/>
      <c r="G38" s="25"/>
      <c r="H38" s="25"/>
    </row>
    <row r="39" spans="1:8" ht="33.75" customHeight="1" x14ac:dyDescent="0.25">
      <c r="A39" s="25"/>
      <c r="B39" s="25"/>
      <c r="C39" s="25"/>
      <c r="D39" s="25"/>
      <c r="E39" s="25"/>
      <c r="F39" s="25"/>
      <c r="G39" s="25"/>
      <c r="H39" s="25"/>
    </row>
    <row r="40" spans="1:8" ht="33.75" customHeight="1" x14ac:dyDescent="0.25">
      <c r="A40" s="25"/>
      <c r="B40" s="25"/>
      <c r="C40" s="25"/>
      <c r="D40" s="25"/>
      <c r="E40" s="25"/>
      <c r="F40" s="26"/>
      <c r="G40" s="25"/>
      <c r="H40" s="25"/>
    </row>
    <row r="41" spans="1:8" ht="21.75" customHeight="1" x14ac:dyDescent="0.25">
      <c r="A41" s="25"/>
      <c r="B41" s="25"/>
      <c r="C41" s="25"/>
      <c r="D41" s="25"/>
      <c r="E41" s="25"/>
      <c r="F41" s="25"/>
      <c r="G41" s="25"/>
      <c r="H41" s="25"/>
    </row>
    <row r="42" spans="1:8" ht="33.75" customHeight="1" x14ac:dyDescent="0.25">
      <c r="A42" s="25"/>
      <c r="B42" s="25"/>
      <c r="C42" s="25"/>
      <c r="D42" s="25"/>
      <c r="E42" s="25"/>
      <c r="F42" s="25"/>
      <c r="G42" s="25"/>
      <c r="H42" s="25"/>
    </row>
    <row r="43" spans="1:8" ht="33.75" customHeight="1" x14ac:dyDescent="0.25">
      <c r="A43" s="25"/>
      <c r="B43" s="25"/>
      <c r="C43" s="25"/>
      <c r="D43" s="25"/>
      <c r="E43" s="25"/>
      <c r="F43" s="25"/>
      <c r="G43" s="25"/>
      <c r="H43" s="25"/>
    </row>
    <row r="44" spans="1:8" ht="33.75" customHeight="1" x14ac:dyDescent="0.25">
      <c r="A44" s="25"/>
      <c r="B44" s="25"/>
      <c r="C44" s="25"/>
      <c r="D44" s="25"/>
      <c r="E44" s="25"/>
      <c r="F44" s="25"/>
      <c r="G44" s="25"/>
      <c r="H44" s="25"/>
    </row>
    <row r="45" spans="1:8" ht="33.75" customHeight="1" x14ac:dyDescent="0.25">
      <c r="A45" s="25"/>
      <c r="B45" s="25"/>
      <c r="C45" s="25"/>
      <c r="D45" s="25"/>
      <c r="E45" s="25"/>
      <c r="F45" s="25"/>
      <c r="G45" s="25"/>
      <c r="H45" s="25"/>
    </row>
    <row r="46" spans="1:8" ht="33.75" customHeight="1" x14ac:dyDescent="0.25">
      <c r="A46" s="25"/>
      <c r="B46" s="25"/>
      <c r="C46" s="25"/>
      <c r="D46" s="25"/>
      <c r="E46" s="25"/>
      <c r="F46" s="25"/>
      <c r="G46" s="25"/>
      <c r="H46" s="25"/>
    </row>
    <row r="47" spans="1:8" ht="33.75" customHeight="1" x14ac:dyDescent="0.25">
      <c r="A47" s="25"/>
      <c r="B47" s="25"/>
      <c r="C47" s="25"/>
      <c r="D47" s="25"/>
      <c r="E47" s="25"/>
      <c r="F47" s="25"/>
      <c r="G47" s="25"/>
      <c r="H47" s="25"/>
    </row>
    <row r="48" spans="1:8" ht="33.75" customHeight="1" x14ac:dyDescent="0.25">
      <c r="A48" s="25"/>
      <c r="B48" s="25"/>
      <c r="C48" s="25"/>
      <c r="D48" s="25"/>
      <c r="E48" s="25"/>
      <c r="F48" s="25"/>
      <c r="G48" s="25"/>
      <c r="H48" s="25"/>
    </row>
    <row r="49" spans="1:8" ht="15.75" customHeight="1" x14ac:dyDescent="0.25">
      <c r="A49" s="25"/>
      <c r="B49" s="25"/>
      <c r="C49" s="25"/>
      <c r="D49" s="25"/>
      <c r="E49" s="25"/>
      <c r="F49" s="25"/>
      <c r="G49" s="25"/>
      <c r="H49" s="25"/>
    </row>
    <row r="50" spans="1:8" ht="15.75" customHeight="1" x14ac:dyDescent="0.25">
      <c r="A50" s="25"/>
      <c r="B50" s="25"/>
      <c r="C50" s="25"/>
      <c r="D50" s="25"/>
      <c r="E50" s="25"/>
      <c r="F50" s="25"/>
      <c r="G50" s="25"/>
      <c r="H50" s="25"/>
    </row>
    <row r="51" spans="1:8" ht="15.75" customHeight="1" x14ac:dyDescent="0.25">
      <c r="A51" s="25"/>
      <c r="B51" s="25"/>
      <c r="C51" s="25"/>
      <c r="D51" s="25"/>
      <c r="E51" s="25"/>
      <c r="F51" s="25"/>
      <c r="G51" s="25"/>
      <c r="H51" s="25"/>
    </row>
    <row r="52" spans="1:8" ht="15.75" customHeight="1" x14ac:dyDescent="0.25">
      <c r="A52" s="25"/>
      <c r="B52" s="25"/>
      <c r="C52" s="25"/>
      <c r="D52" s="25"/>
      <c r="E52" s="25"/>
      <c r="F52" s="25"/>
      <c r="G52" s="25"/>
      <c r="H52" s="25"/>
    </row>
    <row r="53" spans="1:8" ht="15.75" customHeight="1" x14ac:dyDescent="0.25">
      <c r="A53" s="25"/>
      <c r="B53" s="25"/>
      <c r="C53" s="25"/>
      <c r="D53" s="25"/>
      <c r="E53" s="25"/>
      <c r="F53" s="25"/>
      <c r="G53" s="25"/>
      <c r="H53" s="25"/>
    </row>
    <row r="54" spans="1:8" ht="15.75" customHeight="1" x14ac:dyDescent="0.25">
      <c r="A54" s="25"/>
      <c r="B54" s="25"/>
      <c r="C54" s="25"/>
      <c r="D54" s="25"/>
      <c r="E54" s="25"/>
      <c r="F54" s="25"/>
      <c r="G54" s="25"/>
      <c r="H54" s="25"/>
    </row>
    <row r="55" spans="1:8" ht="15.75" customHeight="1" x14ac:dyDescent="0.25">
      <c r="A55" s="25"/>
      <c r="B55" s="25"/>
      <c r="C55" s="25"/>
      <c r="D55" s="25"/>
      <c r="E55" s="25"/>
      <c r="F55" s="25"/>
      <c r="G55" s="25"/>
      <c r="H55" s="25"/>
    </row>
    <row r="56" spans="1:8" ht="15.75" customHeight="1" x14ac:dyDescent="0.25">
      <c r="A56" s="25"/>
      <c r="B56" s="25"/>
      <c r="C56" s="25"/>
      <c r="D56" s="25"/>
      <c r="E56" s="25"/>
      <c r="F56" s="25"/>
      <c r="G56" s="25"/>
      <c r="H56" s="25"/>
    </row>
    <row r="57" spans="1:8" ht="15.75" customHeight="1" x14ac:dyDescent="0.25">
      <c r="A57" s="25"/>
      <c r="B57" s="25"/>
      <c r="C57" s="25"/>
      <c r="D57" s="25"/>
      <c r="E57" s="25"/>
      <c r="F57" s="25"/>
      <c r="G57" s="25"/>
      <c r="H57" s="25"/>
    </row>
    <row r="58" spans="1:8" ht="15.75" customHeight="1" x14ac:dyDescent="0.25">
      <c r="A58" s="25"/>
      <c r="B58" s="25"/>
      <c r="C58" s="25"/>
      <c r="D58" s="25"/>
      <c r="E58" s="25"/>
      <c r="F58" s="25"/>
      <c r="G58" s="25"/>
      <c r="H58" s="25"/>
    </row>
    <row r="59" spans="1:8" ht="15.75" customHeight="1" x14ac:dyDescent="0.25">
      <c r="A59" s="25"/>
      <c r="B59" s="25"/>
      <c r="C59" s="25"/>
      <c r="D59" s="25"/>
      <c r="E59" s="25"/>
      <c r="F59" s="25"/>
      <c r="G59" s="25"/>
      <c r="H59" s="25"/>
    </row>
    <row r="60" spans="1:8" ht="15.75" customHeight="1" x14ac:dyDescent="0.25">
      <c r="A60" s="25"/>
      <c r="B60" s="25"/>
      <c r="C60" s="25"/>
      <c r="D60" s="25"/>
      <c r="E60" s="25"/>
      <c r="F60" s="25"/>
      <c r="G60" s="25"/>
      <c r="H60" s="25"/>
    </row>
    <row r="61" spans="1:8" ht="15.75" customHeight="1" x14ac:dyDescent="0.25">
      <c r="A61" s="25"/>
      <c r="B61" s="25"/>
      <c r="C61" s="25"/>
      <c r="D61" s="25"/>
      <c r="E61" s="25"/>
      <c r="F61" s="25"/>
      <c r="G61" s="25"/>
      <c r="H61" s="25"/>
    </row>
    <row r="62" spans="1:8" ht="15.75" customHeight="1" x14ac:dyDescent="0.25">
      <c r="A62" s="25"/>
      <c r="B62" s="25"/>
      <c r="C62" s="25"/>
      <c r="D62" s="25"/>
      <c r="E62" s="25"/>
      <c r="F62" s="25"/>
      <c r="G62" s="25"/>
      <c r="H62" s="25"/>
    </row>
    <row r="63" spans="1:8" ht="15.75" customHeight="1" x14ac:dyDescent="0.25">
      <c r="A63" s="25"/>
      <c r="B63" s="25"/>
      <c r="C63" s="25"/>
      <c r="D63" s="25"/>
      <c r="E63" s="25"/>
      <c r="F63" s="25"/>
      <c r="G63" s="25"/>
      <c r="H63" s="25"/>
    </row>
    <row r="64" spans="1:8" ht="15.75" customHeight="1" x14ac:dyDescent="0.25">
      <c r="A64" s="25"/>
      <c r="B64" s="25"/>
      <c r="C64" s="25"/>
      <c r="D64" s="25"/>
      <c r="E64" s="25"/>
      <c r="F64" s="25"/>
      <c r="G64" s="25"/>
      <c r="H64" s="25"/>
    </row>
    <row r="65" spans="1:8" ht="15.75" customHeight="1" x14ac:dyDescent="0.25">
      <c r="A65" s="25"/>
      <c r="B65" s="25"/>
      <c r="C65" s="25"/>
      <c r="D65" s="25"/>
      <c r="E65" s="25"/>
      <c r="F65" s="25"/>
      <c r="G65" s="25"/>
      <c r="H65" s="25"/>
    </row>
    <row r="66" spans="1:8" ht="15.75" customHeight="1" x14ac:dyDescent="0.25">
      <c r="A66" s="25"/>
      <c r="B66" s="25"/>
      <c r="C66" s="25"/>
      <c r="D66" s="25"/>
      <c r="E66" s="25"/>
      <c r="F66" s="25"/>
      <c r="G66" s="25"/>
      <c r="H66" s="25"/>
    </row>
    <row r="67" spans="1:8" ht="15.75" customHeight="1" x14ac:dyDescent="0.25">
      <c r="A67" s="25"/>
      <c r="B67" s="25"/>
      <c r="C67" s="25"/>
      <c r="D67" s="25"/>
      <c r="E67" s="25"/>
      <c r="F67" s="25"/>
      <c r="G67" s="25"/>
      <c r="H67" s="25"/>
    </row>
    <row r="68" spans="1:8" ht="15.75" customHeight="1" x14ac:dyDescent="0.25">
      <c r="A68" s="25"/>
      <c r="B68" s="25"/>
      <c r="C68" s="25"/>
      <c r="D68" s="25"/>
      <c r="E68" s="25"/>
      <c r="F68" s="25"/>
      <c r="G68" s="25"/>
      <c r="H68" s="25"/>
    </row>
    <row r="69" spans="1:8" ht="15.75" customHeight="1" x14ac:dyDescent="0.25">
      <c r="A69" s="25"/>
      <c r="B69" s="25"/>
      <c r="C69" s="25"/>
      <c r="D69" s="25"/>
      <c r="E69" s="25"/>
      <c r="F69" s="25"/>
      <c r="G69" s="25"/>
      <c r="H69" s="25"/>
    </row>
    <row r="70" spans="1:8" ht="15.75" customHeight="1" x14ac:dyDescent="0.25">
      <c r="A70" s="25"/>
      <c r="B70" s="25"/>
      <c r="C70" s="25"/>
      <c r="D70" s="25"/>
      <c r="E70" s="25"/>
      <c r="F70" s="25"/>
      <c r="G70" s="25"/>
      <c r="H70" s="25"/>
    </row>
    <row r="71" spans="1:8" ht="15.75" customHeight="1" x14ac:dyDescent="0.25">
      <c r="A71" s="25"/>
      <c r="B71" s="25"/>
      <c r="C71" s="25"/>
      <c r="D71" s="25"/>
      <c r="E71" s="25"/>
      <c r="F71" s="25"/>
      <c r="G71" s="25"/>
      <c r="H71" s="25"/>
    </row>
    <row r="72" spans="1:8" ht="15.75" customHeight="1" x14ac:dyDescent="0.25">
      <c r="A72" s="25"/>
      <c r="B72" s="25"/>
      <c r="C72" s="25"/>
      <c r="D72" s="25"/>
      <c r="E72" s="25"/>
      <c r="F72" s="25"/>
      <c r="G72" s="25"/>
      <c r="H72" s="25"/>
    </row>
    <row r="73" spans="1:8" ht="15.75" customHeight="1" x14ac:dyDescent="0.25">
      <c r="A73" s="25"/>
      <c r="B73" s="25"/>
      <c r="C73" s="25"/>
      <c r="D73" s="25"/>
      <c r="E73" s="25"/>
      <c r="F73" s="25"/>
      <c r="G73" s="25"/>
      <c r="H73" s="25"/>
    </row>
    <row r="74" spans="1:8" ht="15.75" customHeight="1" x14ac:dyDescent="0.25">
      <c r="A74" s="25"/>
      <c r="B74" s="25"/>
      <c r="C74" s="25"/>
      <c r="D74" s="25"/>
      <c r="E74" s="25"/>
      <c r="F74" s="25"/>
      <c r="G74" s="25"/>
      <c r="H74" s="25"/>
    </row>
    <row r="75" spans="1:8" ht="15.75" customHeight="1" x14ac:dyDescent="0.25">
      <c r="A75" s="25"/>
      <c r="B75" s="25"/>
      <c r="C75" s="25"/>
      <c r="D75" s="25"/>
      <c r="E75" s="25"/>
      <c r="F75" s="25"/>
      <c r="G75" s="25"/>
      <c r="H75" s="25"/>
    </row>
    <row r="76" spans="1:8" ht="15.75" customHeight="1" x14ac:dyDescent="0.25">
      <c r="A76" s="25"/>
      <c r="B76" s="25"/>
      <c r="C76" s="25"/>
      <c r="D76" s="25"/>
      <c r="E76" s="25"/>
      <c r="F76" s="25"/>
      <c r="G76" s="25"/>
      <c r="H76" s="25"/>
    </row>
    <row r="77" spans="1:8" ht="15.75" customHeight="1" x14ac:dyDescent="0.25">
      <c r="A77" s="25"/>
      <c r="B77" s="25"/>
      <c r="C77" s="25"/>
      <c r="D77" s="25"/>
      <c r="E77" s="25"/>
      <c r="F77" s="25"/>
      <c r="G77" s="25"/>
      <c r="H77" s="25"/>
    </row>
    <row r="78" spans="1:8" ht="15.75" customHeight="1" x14ac:dyDescent="0.25">
      <c r="A78" s="25"/>
      <c r="B78" s="25"/>
      <c r="C78" s="25"/>
      <c r="D78" s="25"/>
      <c r="E78" s="25"/>
      <c r="F78" s="25"/>
      <c r="G78" s="25"/>
      <c r="H78" s="25"/>
    </row>
    <row r="79" spans="1:8" ht="15.75" customHeight="1" x14ac:dyDescent="0.25">
      <c r="A79" s="25"/>
      <c r="B79" s="25"/>
      <c r="C79" s="25"/>
      <c r="D79" s="25"/>
      <c r="E79" s="25"/>
      <c r="F79" s="25"/>
      <c r="G79" s="25"/>
      <c r="H79" s="25"/>
    </row>
    <row r="80" spans="1:8" ht="15.75" customHeight="1" x14ac:dyDescent="0.25">
      <c r="A80" s="25"/>
      <c r="B80" s="25"/>
      <c r="C80" s="25"/>
      <c r="D80" s="25"/>
      <c r="E80" s="25"/>
      <c r="F80" s="25"/>
      <c r="G80" s="25"/>
      <c r="H80" s="25"/>
    </row>
    <row r="81" spans="1:8" ht="15.75" customHeight="1" x14ac:dyDescent="0.25">
      <c r="A81" s="25"/>
      <c r="B81" s="25"/>
      <c r="C81" s="25"/>
      <c r="D81" s="25"/>
      <c r="E81" s="25"/>
      <c r="F81" s="25"/>
      <c r="G81" s="25"/>
      <c r="H81" s="25"/>
    </row>
    <row r="82" spans="1:8" ht="15.75" customHeight="1" x14ac:dyDescent="0.25">
      <c r="A82" s="25"/>
      <c r="B82" s="25"/>
      <c r="C82" s="25"/>
      <c r="D82" s="25"/>
      <c r="E82" s="25"/>
      <c r="F82" s="25"/>
      <c r="G82" s="25"/>
      <c r="H82" s="25"/>
    </row>
    <row r="83" spans="1:8" ht="15.75" customHeight="1" x14ac:dyDescent="0.25">
      <c r="A83" s="25"/>
      <c r="B83" s="25"/>
      <c r="C83" s="25"/>
      <c r="D83" s="25"/>
      <c r="E83" s="25"/>
      <c r="F83" s="25"/>
      <c r="G83" s="25"/>
      <c r="H83" s="25"/>
    </row>
    <row r="84" spans="1:8" ht="15.75" customHeight="1" x14ac:dyDescent="0.25">
      <c r="A84" s="25"/>
      <c r="B84" s="25"/>
      <c r="C84" s="25"/>
      <c r="D84" s="25"/>
      <c r="E84" s="25"/>
      <c r="F84" s="25"/>
      <c r="G84" s="25"/>
      <c r="H84" s="25"/>
    </row>
    <row r="85" spans="1:8" ht="15.75" customHeight="1" x14ac:dyDescent="0.25">
      <c r="A85" s="25"/>
      <c r="B85" s="25"/>
      <c r="C85" s="25"/>
      <c r="D85" s="25"/>
      <c r="E85" s="25"/>
      <c r="F85" s="25"/>
      <c r="G85" s="25"/>
      <c r="H85" s="25"/>
    </row>
    <row r="86" spans="1:8" ht="15.75" customHeight="1" x14ac:dyDescent="0.25">
      <c r="A86" s="25"/>
      <c r="B86" s="25"/>
      <c r="C86" s="25"/>
      <c r="D86" s="25"/>
      <c r="E86" s="25"/>
      <c r="F86" s="25"/>
      <c r="G86" s="25"/>
      <c r="H86" s="25"/>
    </row>
    <row r="87" spans="1:8" ht="15.75" customHeight="1" x14ac:dyDescent="0.25">
      <c r="A87" s="25"/>
      <c r="B87" s="25"/>
      <c r="C87" s="25"/>
      <c r="D87" s="25"/>
      <c r="E87" s="25"/>
      <c r="F87" s="25"/>
      <c r="G87" s="25"/>
      <c r="H87" s="25"/>
    </row>
    <row r="88" spans="1:8" ht="15.75" customHeight="1" x14ac:dyDescent="0.25">
      <c r="A88" s="25"/>
      <c r="B88" s="25"/>
      <c r="C88" s="25"/>
      <c r="D88" s="25"/>
      <c r="E88" s="25"/>
      <c r="F88" s="25"/>
      <c r="G88" s="25"/>
      <c r="H88" s="25"/>
    </row>
    <row r="89" spans="1:8" ht="15.75" customHeight="1" x14ac:dyDescent="0.25">
      <c r="A89" s="25"/>
      <c r="B89" s="25"/>
      <c r="C89" s="25"/>
      <c r="D89" s="25"/>
      <c r="E89" s="25"/>
      <c r="F89" s="25"/>
      <c r="G89" s="25"/>
      <c r="H89" s="25"/>
    </row>
    <row r="90" spans="1:8" ht="15.75" customHeight="1" x14ac:dyDescent="0.25">
      <c r="A90" s="25"/>
      <c r="B90" s="25"/>
      <c r="C90" s="25"/>
      <c r="D90" s="25"/>
      <c r="E90" s="25"/>
      <c r="F90" s="25"/>
      <c r="G90" s="25"/>
      <c r="H90" s="25"/>
    </row>
    <row r="91" spans="1:8" ht="15.75" customHeight="1" x14ac:dyDescent="0.25">
      <c r="A91" s="25"/>
      <c r="B91" s="25"/>
      <c r="C91" s="25"/>
      <c r="D91" s="25"/>
      <c r="E91" s="25"/>
      <c r="F91" s="25"/>
      <c r="G91" s="25"/>
      <c r="H91" s="25"/>
    </row>
    <row r="92" spans="1:8" ht="15.75" customHeight="1" x14ac:dyDescent="0.25">
      <c r="A92" s="25"/>
      <c r="B92" s="25"/>
      <c r="C92" s="25"/>
      <c r="D92" s="25"/>
      <c r="E92" s="25"/>
      <c r="F92" s="25"/>
      <c r="G92" s="25"/>
      <c r="H92" s="25"/>
    </row>
    <row r="93" spans="1:8" ht="15.75" customHeight="1" x14ac:dyDescent="0.25">
      <c r="A93" s="25"/>
      <c r="B93" s="25"/>
      <c r="C93" s="25"/>
      <c r="D93" s="25"/>
      <c r="E93" s="25"/>
      <c r="F93" s="25"/>
      <c r="G93" s="25"/>
      <c r="H93" s="25"/>
    </row>
    <row r="94" spans="1:8" ht="15.75" customHeight="1" x14ac:dyDescent="0.25">
      <c r="A94" s="25"/>
      <c r="B94" s="25"/>
      <c r="C94" s="25"/>
      <c r="D94" s="25"/>
      <c r="E94" s="25"/>
      <c r="F94" s="25"/>
      <c r="G94" s="25"/>
      <c r="H94" s="25"/>
    </row>
    <row r="95" spans="1:8" ht="15.75" customHeight="1" x14ac:dyDescent="0.25">
      <c r="A95" s="25"/>
      <c r="B95" s="25"/>
      <c r="C95" s="25"/>
      <c r="D95" s="25"/>
      <c r="E95" s="25"/>
      <c r="F95" s="25"/>
      <c r="G95" s="25"/>
      <c r="H95" s="25"/>
    </row>
    <row r="96" spans="1:8" ht="15.75" customHeight="1" x14ac:dyDescent="0.25">
      <c r="A96" s="25"/>
      <c r="B96" s="25"/>
      <c r="C96" s="25"/>
      <c r="D96" s="25"/>
      <c r="E96" s="25"/>
      <c r="F96" s="25"/>
      <c r="G96" s="25"/>
      <c r="H96" s="25"/>
    </row>
    <row r="97" spans="1:8" ht="15.75" customHeight="1" x14ac:dyDescent="0.25">
      <c r="A97" s="25"/>
      <c r="B97" s="25"/>
      <c r="C97" s="25"/>
      <c r="D97" s="25"/>
      <c r="E97" s="25"/>
      <c r="F97" s="25"/>
      <c r="G97" s="25"/>
      <c r="H97" s="25"/>
    </row>
    <row r="98" spans="1:8" ht="15.75" customHeight="1" x14ac:dyDescent="0.25">
      <c r="A98" s="25"/>
      <c r="B98" s="25"/>
      <c r="C98" s="25"/>
      <c r="D98" s="25"/>
      <c r="E98" s="25"/>
      <c r="F98" s="25"/>
      <c r="G98" s="25"/>
      <c r="H98" s="25"/>
    </row>
    <row r="99" spans="1:8" ht="15.75" customHeight="1" x14ac:dyDescent="0.25">
      <c r="A99" s="25"/>
      <c r="B99" s="25"/>
      <c r="C99" s="25"/>
      <c r="D99" s="25"/>
      <c r="E99" s="25"/>
      <c r="F99" s="25"/>
      <c r="G99" s="25"/>
      <c r="H99" s="25"/>
    </row>
    <row r="100" spans="1:8" ht="15.75" customHeight="1" x14ac:dyDescent="0.25">
      <c r="A100" s="25"/>
      <c r="B100" s="25"/>
      <c r="C100" s="25"/>
      <c r="D100" s="25"/>
      <c r="E100" s="25"/>
      <c r="F100" s="25"/>
      <c r="G100" s="25"/>
      <c r="H100" s="25"/>
    </row>
    <row r="101" spans="1:8" ht="15.75" customHeight="1" x14ac:dyDescent="0.25"/>
    <row r="102" spans="1:8" ht="15.75" customHeight="1" x14ac:dyDescent="0.25"/>
    <row r="103" spans="1:8" ht="15.75" customHeight="1" x14ac:dyDescent="0.25"/>
    <row r="104" spans="1:8" ht="15.75" customHeight="1" x14ac:dyDescent="0.25"/>
    <row r="105" spans="1:8" ht="15.75" customHeight="1" x14ac:dyDescent="0.25"/>
    <row r="106" spans="1:8" ht="15.75" customHeight="1" x14ac:dyDescent="0.25"/>
    <row r="107" spans="1:8" ht="15.75" customHeight="1" x14ac:dyDescent="0.25"/>
    <row r="108" spans="1:8" ht="15.75" customHeight="1" x14ac:dyDescent="0.25"/>
    <row r="109" spans="1:8" ht="15.75" customHeight="1" x14ac:dyDescent="0.25"/>
    <row r="110" spans="1:8" ht="15.75" customHeight="1" x14ac:dyDescent="0.25"/>
    <row r="111" spans="1:8" ht="15.75" customHeight="1" x14ac:dyDescent="0.25"/>
    <row r="112" spans="1:8"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24:H24"/>
    <mergeCell ref="A28:H28"/>
    <mergeCell ref="A1:H1"/>
    <mergeCell ref="A12:H12"/>
    <mergeCell ref="A3:H3"/>
    <mergeCell ref="A7:H7"/>
    <mergeCell ref="A20:H20"/>
    <mergeCell ref="A16:H16"/>
  </mergeCells>
  <dataValidations count="3">
    <dataValidation type="list" allowBlank="1" showErrorMessage="1" sqref="E4:E12 E14:E23 E25:E31 E33:E40 E42:E48" xr:uid="{00000000-0002-0000-0400-000000000000}">
      <formula1>"Điệp"</formula1>
    </dataValidation>
    <dataValidation type="list" allowBlank="1" showErrorMessage="1" sqref="G4:G12 G14:G23 G25:G31 G33:G40 G42:G48" xr:uid="{00000000-0002-0000-0400-000001000000}">
      <formula1>"Hoàn thành,Đang làm"</formula1>
    </dataValidation>
    <dataValidation type="list" allowBlank="1" showErrorMessage="1" sqref="C4:C12 C14:C23 C25:C31 C33:C40 C42:C48" xr:uid="{00000000-0002-0000-0400-000002000000}">
      <formula1>"US-001,US-002,US-003,US-004,US-008"</formula1>
    </dataValidation>
  </dataValidation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00"/>
  <sheetViews>
    <sheetView showGridLines="0" workbookViewId="0">
      <pane ySplit="3" topLeftCell="A4" activePane="bottomLeft" state="frozen"/>
      <selection pane="bottomLeft" activeCell="B5" sqref="B5"/>
    </sheetView>
  </sheetViews>
  <sheetFormatPr defaultColWidth="14.42578125" defaultRowHeight="15" customHeight="1" x14ac:dyDescent="0.25"/>
  <cols>
    <col min="1" max="1" width="6" customWidth="1"/>
    <col min="2" max="2" width="10" customWidth="1"/>
    <col min="3" max="3" width="26" customWidth="1"/>
    <col min="4" max="4" width="30" customWidth="1"/>
    <col min="5" max="5" width="26" customWidth="1"/>
    <col min="6" max="6" width="11" customWidth="1"/>
    <col min="7" max="7" width="9" customWidth="1"/>
    <col min="8" max="8" width="16" customWidth="1"/>
    <col min="9" max="9" width="13" customWidth="1"/>
    <col min="10" max="10" width="22" customWidth="1"/>
  </cols>
  <sheetData>
    <row r="1" spans="1:10" ht="27.75" customHeight="1" x14ac:dyDescent="0.25">
      <c r="A1" s="47" t="s">
        <v>369</v>
      </c>
      <c r="B1" s="31"/>
      <c r="C1" s="31"/>
      <c r="D1" s="31"/>
      <c r="E1" s="31"/>
      <c r="F1" s="31"/>
      <c r="G1" s="31"/>
      <c r="H1" s="31"/>
      <c r="I1" s="31"/>
      <c r="J1" s="31"/>
    </row>
    <row r="2" spans="1:10" x14ac:dyDescent="0.25">
      <c r="A2" s="30" t="s">
        <v>370</v>
      </c>
      <c r="B2" s="31"/>
      <c r="C2" s="31"/>
      <c r="D2" s="31"/>
      <c r="E2" s="31"/>
      <c r="F2" s="31"/>
      <c r="G2" s="31"/>
      <c r="H2" s="31"/>
      <c r="I2" s="31"/>
      <c r="J2" s="31"/>
    </row>
    <row r="3" spans="1:10" x14ac:dyDescent="0.25">
      <c r="A3" s="2" t="s">
        <v>371</v>
      </c>
      <c r="B3" s="2" t="s">
        <v>372</v>
      </c>
      <c r="C3" s="2" t="s">
        <v>373</v>
      </c>
      <c r="D3" s="2" t="s">
        <v>143</v>
      </c>
      <c r="E3" s="2" t="s">
        <v>374</v>
      </c>
      <c r="F3" s="2" t="s">
        <v>375</v>
      </c>
      <c r="G3" s="2" t="s">
        <v>250</v>
      </c>
      <c r="H3" s="2" t="s">
        <v>376</v>
      </c>
      <c r="I3" s="2" t="s">
        <v>25</v>
      </c>
      <c r="J3" s="2" t="s">
        <v>377</v>
      </c>
    </row>
    <row r="4" spans="1:10" ht="33.75" customHeight="1" x14ac:dyDescent="0.25">
      <c r="A4" s="5">
        <v>1</v>
      </c>
      <c r="B4" s="3" t="s">
        <v>378</v>
      </c>
      <c r="C4" s="17" t="s">
        <v>379</v>
      </c>
      <c r="D4" s="17" t="s">
        <v>380</v>
      </c>
      <c r="E4" s="17" t="s">
        <v>381</v>
      </c>
      <c r="F4" s="5" t="s">
        <v>207</v>
      </c>
      <c r="G4" s="5" t="s">
        <v>382</v>
      </c>
      <c r="H4" s="5" t="s">
        <v>383</v>
      </c>
      <c r="I4" s="7" t="s">
        <v>384</v>
      </c>
      <c r="J4" s="5"/>
    </row>
    <row r="5" spans="1:10" x14ac:dyDescent="0.25">
      <c r="A5" s="5">
        <v>2</v>
      </c>
      <c r="B5" s="3" t="s">
        <v>385</v>
      </c>
      <c r="C5" s="17"/>
      <c r="D5" s="17"/>
      <c r="E5" s="17"/>
      <c r="F5" s="5"/>
      <c r="G5" s="5"/>
      <c r="H5" s="5"/>
      <c r="I5" s="5"/>
      <c r="J5" s="5"/>
    </row>
    <row r="6" spans="1:10" x14ac:dyDescent="0.25">
      <c r="A6" s="5">
        <v>3</v>
      </c>
      <c r="B6" s="3" t="s">
        <v>386</v>
      </c>
      <c r="C6" s="17"/>
      <c r="D6" s="17"/>
      <c r="E6" s="17"/>
      <c r="F6" s="5"/>
      <c r="G6" s="5"/>
      <c r="H6" s="5"/>
      <c r="I6" s="5"/>
      <c r="J6" s="5"/>
    </row>
    <row r="7" spans="1:10" x14ac:dyDescent="0.25">
      <c r="A7" s="5">
        <v>4</v>
      </c>
      <c r="B7" s="3" t="s">
        <v>387</v>
      </c>
      <c r="C7" s="17"/>
      <c r="D7" s="17"/>
      <c r="E7" s="17"/>
      <c r="F7" s="5"/>
      <c r="G7" s="5"/>
      <c r="H7" s="5"/>
      <c r="I7" s="5"/>
      <c r="J7" s="5"/>
    </row>
    <row r="8" spans="1:10" x14ac:dyDescent="0.25">
      <c r="A8" s="5">
        <v>5</v>
      </c>
      <c r="B8" s="3" t="s">
        <v>388</v>
      </c>
      <c r="C8" s="17"/>
      <c r="D8" s="17"/>
      <c r="E8" s="17"/>
      <c r="F8" s="5"/>
      <c r="G8" s="5"/>
      <c r="H8" s="5"/>
      <c r="I8" s="5"/>
      <c r="J8" s="5"/>
    </row>
    <row r="9" spans="1:10" x14ac:dyDescent="0.25">
      <c r="A9" s="5">
        <v>6</v>
      </c>
      <c r="B9" s="3" t="s">
        <v>389</v>
      </c>
      <c r="C9" s="17"/>
      <c r="D9" s="17"/>
      <c r="E9" s="17"/>
      <c r="F9" s="5"/>
      <c r="G9" s="5"/>
      <c r="H9" s="5"/>
      <c r="I9" s="5"/>
      <c r="J9" s="5"/>
    </row>
    <row r="10" spans="1:10" x14ac:dyDescent="0.25">
      <c r="A10" s="5">
        <v>7</v>
      </c>
      <c r="B10" s="3" t="s">
        <v>390</v>
      </c>
      <c r="C10" s="17"/>
      <c r="D10" s="17"/>
      <c r="E10" s="17"/>
      <c r="F10" s="5"/>
      <c r="G10" s="5"/>
      <c r="H10" s="5"/>
      <c r="I10" s="5"/>
      <c r="J10" s="5"/>
    </row>
    <row r="11" spans="1:10" x14ac:dyDescent="0.25">
      <c r="A11" s="5">
        <v>8</v>
      </c>
      <c r="B11" s="3" t="s">
        <v>391</v>
      </c>
      <c r="C11" s="17"/>
      <c r="D11" s="17"/>
      <c r="E11" s="17"/>
      <c r="F11" s="5"/>
      <c r="G11" s="5"/>
      <c r="H11" s="5"/>
      <c r="I11" s="20"/>
      <c r="J11" s="21"/>
    </row>
    <row r="12" spans="1:10" x14ac:dyDescent="0.25">
      <c r="A12" s="5">
        <v>9</v>
      </c>
      <c r="B12" s="3" t="s">
        <v>392</v>
      </c>
      <c r="C12" s="17"/>
      <c r="D12" s="17"/>
      <c r="E12" s="17"/>
      <c r="F12" s="5"/>
      <c r="G12" s="5"/>
      <c r="H12" s="5"/>
      <c r="I12" s="5"/>
      <c r="J12" s="5"/>
    </row>
    <row r="13" spans="1:10" x14ac:dyDescent="0.25">
      <c r="A13" s="5">
        <v>10</v>
      </c>
      <c r="B13" s="3" t="s">
        <v>393</v>
      </c>
      <c r="C13" s="17"/>
      <c r="D13" s="17"/>
      <c r="E13" s="17"/>
      <c r="F13" s="5"/>
      <c r="G13" s="5"/>
      <c r="H13" s="5"/>
      <c r="I13" s="5"/>
      <c r="J13" s="5"/>
    </row>
    <row r="14" spans="1:10" x14ac:dyDescent="0.25">
      <c r="A14" s="5">
        <v>11</v>
      </c>
      <c r="B14" s="3" t="s">
        <v>394</v>
      </c>
      <c r="C14" s="17"/>
      <c r="D14" s="17"/>
      <c r="E14" s="17"/>
      <c r="F14" s="5"/>
      <c r="G14" s="5"/>
      <c r="H14" s="5"/>
      <c r="I14" s="5"/>
      <c r="J14" s="5"/>
    </row>
    <row r="15" spans="1:10" x14ac:dyDescent="0.25">
      <c r="A15" s="5">
        <v>12</v>
      </c>
      <c r="B15" s="3" t="s">
        <v>395</v>
      </c>
      <c r="C15" s="17"/>
      <c r="D15" s="17"/>
      <c r="E15" s="17"/>
      <c r="F15" s="5"/>
      <c r="G15" s="5"/>
      <c r="H15" s="5"/>
      <c r="I15" s="5"/>
      <c r="J15" s="5"/>
    </row>
    <row r="16" spans="1:10" x14ac:dyDescent="0.25">
      <c r="A16" s="5">
        <v>13</v>
      </c>
      <c r="B16" s="3" t="s">
        <v>396</v>
      </c>
      <c r="C16" s="17"/>
      <c r="D16" s="17"/>
      <c r="E16" s="17"/>
      <c r="F16" s="5"/>
      <c r="G16" s="5"/>
      <c r="H16" s="5"/>
      <c r="I16" s="5"/>
      <c r="J16" s="5"/>
    </row>
    <row r="17" spans="1:10" x14ac:dyDescent="0.25">
      <c r="A17" s="5">
        <v>14</v>
      </c>
      <c r="B17" s="3" t="s">
        <v>397</v>
      </c>
      <c r="C17" s="17"/>
      <c r="D17" s="17"/>
      <c r="E17" s="17"/>
      <c r="F17" s="5"/>
      <c r="G17" s="5"/>
      <c r="H17" s="5"/>
      <c r="I17" s="5"/>
      <c r="J17" s="5"/>
    </row>
    <row r="18" spans="1:10" x14ac:dyDescent="0.25">
      <c r="A18" s="5">
        <v>15</v>
      </c>
      <c r="B18" s="3" t="s">
        <v>398</v>
      </c>
      <c r="C18" s="17"/>
      <c r="D18" s="17"/>
      <c r="E18" s="17"/>
      <c r="F18" s="5"/>
      <c r="G18" s="5"/>
      <c r="H18" s="5"/>
      <c r="I18" s="5"/>
      <c r="J18" s="5"/>
    </row>
    <row r="19" spans="1:10" x14ac:dyDescent="0.25">
      <c r="A19" s="5">
        <v>16</v>
      </c>
      <c r="B19" s="3" t="s">
        <v>399</v>
      </c>
      <c r="C19" s="17"/>
      <c r="D19" s="17"/>
      <c r="E19" s="17"/>
      <c r="F19" s="5"/>
      <c r="G19" s="5"/>
      <c r="H19" s="5"/>
      <c r="I19" s="5"/>
      <c r="J19" s="5"/>
    </row>
    <row r="20" spans="1:10" x14ac:dyDescent="0.25">
      <c r="A20" s="5">
        <v>17</v>
      </c>
      <c r="B20" s="3" t="s">
        <v>400</v>
      </c>
      <c r="C20" s="17"/>
      <c r="D20" s="17"/>
      <c r="E20" s="17"/>
      <c r="F20" s="5"/>
      <c r="G20" s="5"/>
      <c r="H20" s="5"/>
      <c r="I20" s="5"/>
      <c r="J20" s="5"/>
    </row>
    <row r="21" spans="1:10" ht="15.75" customHeight="1" x14ac:dyDescent="0.25">
      <c r="A21" s="5">
        <v>18</v>
      </c>
      <c r="B21" s="3" t="s">
        <v>401</v>
      </c>
      <c r="C21" s="17"/>
      <c r="D21" s="17"/>
      <c r="E21" s="17"/>
      <c r="F21" s="5"/>
      <c r="G21" s="5"/>
      <c r="H21" s="5"/>
      <c r="I21" s="5"/>
      <c r="J21" s="5"/>
    </row>
    <row r="22" spans="1:10" ht="15.75" customHeight="1" x14ac:dyDescent="0.25">
      <c r="A22" s="5">
        <v>19</v>
      </c>
      <c r="B22" s="3" t="s">
        <v>402</v>
      </c>
      <c r="C22" s="17"/>
      <c r="D22" s="17"/>
      <c r="E22" s="17"/>
      <c r="F22" s="5"/>
      <c r="G22" s="5"/>
      <c r="H22" s="5"/>
      <c r="I22" s="5"/>
      <c r="J22" s="5"/>
    </row>
    <row r="23" spans="1:10" ht="15.75" customHeight="1" x14ac:dyDescent="0.25">
      <c r="A23" s="5">
        <v>20</v>
      </c>
      <c r="B23" s="3" t="s">
        <v>403</v>
      </c>
      <c r="C23" s="17"/>
      <c r="D23" s="17"/>
      <c r="E23" s="17"/>
      <c r="F23" s="5"/>
      <c r="G23" s="5"/>
      <c r="H23" s="5"/>
      <c r="I23" s="5"/>
      <c r="J23" s="5"/>
    </row>
    <row r="24" spans="1:10" ht="15.75" customHeight="1" x14ac:dyDescent="0.25"/>
    <row r="25" spans="1:10" ht="15.75" customHeight="1" x14ac:dyDescent="0.25">
      <c r="A25" s="48" t="s">
        <v>404</v>
      </c>
      <c r="B25" s="31"/>
      <c r="C25" s="31"/>
      <c r="D25" s="31"/>
      <c r="E25" s="31"/>
      <c r="F25" s="31"/>
      <c r="G25" s="31"/>
      <c r="H25" s="31"/>
      <c r="I25" s="31"/>
      <c r="J25" s="31"/>
    </row>
    <row r="26" spans="1:10" ht="15.75" customHeight="1" x14ac:dyDescent="0.25">
      <c r="A26" s="1" t="s">
        <v>405</v>
      </c>
      <c r="B26" s="27" t="s">
        <v>406</v>
      </c>
      <c r="C26" s="28"/>
      <c r="D26" s="28"/>
      <c r="E26" s="28"/>
      <c r="F26" s="28"/>
      <c r="G26" s="28"/>
      <c r="H26" s="28"/>
      <c r="I26" s="28"/>
      <c r="J26" s="29"/>
    </row>
    <row r="27" spans="1:10" ht="15.75" customHeight="1" x14ac:dyDescent="0.25">
      <c r="A27" s="1" t="s">
        <v>130</v>
      </c>
      <c r="B27" s="27" t="s">
        <v>407</v>
      </c>
      <c r="C27" s="28"/>
      <c r="D27" s="28"/>
      <c r="E27" s="28"/>
      <c r="F27" s="28"/>
      <c r="G27" s="28"/>
      <c r="H27" s="28"/>
      <c r="I27" s="28"/>
      <c r="J27" s="29"/>
    </row>
    <row r="28" spans="1:10" ht="15.75" customHeight="1" x14ac:dyDescent="0.25">
      <c r="A28" s="1" t="s">
        <v>207</v>
      </c>
      <c r="B28" s="27" t="s">
        <v>408</v>
      </c>
      <c r="C28" s="28"/>
      <c r="D28" s="28"/>
      <c r="E28" s="28"/>
      <c r="F28" s="28"/>
      <c r="G28" s="28"/>
      <c r="H28" s="28"/>
      <c r="I28" s="28"/>
      <c r="J28" s="29"/>
    </row>
    <row r="29" spans="1:10" ht="15.75" customHeight="1" x14ac:dyDescent="0.25">
      <c r="A29" s="1" t="s">
        <v>220</v>
      </c>
      <c r="B29" s="27" t="s">
        <v>409</v>
      </c>
      <c r="C29" s="28"/>
      <c r="D29" s="28"/>
      <c r="E29" s="28"/>
      <c r="F29" s="28"/>
      <c r="G29" s="28"/>
      <c r="H29" s="28"/>
      <c r="I29" s="28"/>
      <c r="J29" s="29"/>
    </row>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B29:J29"/>
    <mergeCell ref="A1:J1"/>
    <mergeCell ref="B28:J28"/>
    <mergeCell ref="B26:J26"/>
    <mergeCell ref="B27:J27"/>
    <mergeCell ref="A2:J2"/>
    <mergeCell ref="A25:J25"/>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showGridLines="0" workbookViewId="0">
      <pane ySplit="3" topLeftCell="A4" activePane="bottomLeft" state="frozen"/>
      <selection pane="bottomLeft" activeCell="B5" sqref="B5"/>
    </sheetView>
  </sheetViews>
  <sheetFormatPr defaultColWidth="14.42578125" defaultRowHeight="15" customHeight="1" x14ac:dyDescent="0.25"/>
  <cols>
    <col min="1" max="1" width="6" customWidth="1"/>
    <col min="2" max="2" width="22" customWidth="1"/>
    <col min="3" max="3" width="34" customWidth="1"/>
    <col min="4" max="4" width="46" customWidth="1"/>
    <col min="5" max="5" width="22" customWidth="1"/>
    <col min="6" max="6" width="24" customWidth="1"/>
  </cols>
  <sheetData>
    <row r="1" spans="1:6" ht="27.75" customHeight="1" x14ac:dyDescent="0.25">
      <c r="A1" s="50" t="s">
        <v>410</v>
      </c>
      <c r="B1" s="31"/>
      <c r="C1" s="31"/>
      <c r="D1" s="31"/>
      <c r="E1" s="31"/>
      <c r="F1" s="31"/>
    </row>
    <row r="2" spans="1:6" x14ac:dyDescent="0.25">
      <c r="A2" s="30" t="s">
        <v>411</v>
      </c>
      <c r="B2" s="31"/>
      <c r="C2" s="31"/>
      <c r="D2" s="31"/>
      <c r="E2" s="31"/>
      <c r="F2" s="31"/>
    </row>
    <row r="3" spans="1:6" x14ac:dyDescent="0.25">
      <c r="A3" s="2" t="s">
        <v>371</v>
      </c>
      <c r="B3" s="2" t="s">
        <v>412</v>
      </c>
      <c r="C3" s="2" t="s">
        <v>413</v>
      </c>
      <c r="D3" s="2" t="s">
        <v>414</v>
      </c>
      <c r="E3" s="2" t="s">
        <v>415</v>
      </c>
      <c r="F3" s="2" t="s">
        <v>46</v>
      </c>
    </row>
    <row r="4" spans="1:6" x14ac:dyDescent="0.25">
      <c r="A4" s="49" t="s">
        <v>416</v>
      </c>
      <c r="B4" s="31"/>
      <c r="C4" s="31"/>
      <c r="D4" s="31"/>
      <c r="E4" s="31"/>
      <c r="F4" s="31"/>
    </row>
    <row r="5" spans="1:6" ht="30" customHeight="1" x14ac:dyDescent="0.25">
      <c r="A5" s="5">
        <v>1</v>
      </c>
      <c r="B5" s="5"/>
      <c r="C5" s="4" t="s">
        <v>417</v>
      </c>
      <c r="D5" s="4" t="s">
        <v>418</v>
      </c>
      <c r="E5" s="4" t="s">
        <v>419</v>
      </c>
      <c r="F5" s="4"/>
    </row>
    <row r="6" spans="1:6" x14ac:dyDescent="0.25">
      <c r="A6" s="5">
        <v>2</v>
      </c>
      <c r="B6" s="5"/>
      <c r="C6" s="4" t="s">
        <v>420</v>
      </c>
      <c r="D6" s="4" t="s">
        <v>421</v>
      </c>
      <c r="E6" s="4" t="s">
        <v>422</v>
      </c>
      <c r="F6" s="4" t="s">
        <v>423</v>
      </c>
    </row>
    <row r="7" spans="1:6" x14ac:dyDescent="0.25">
      <c r="A7" s="5">
        <v>3</v>
      </c>
      <c r="B7" s="5"/>
      <c r="C7" s="4" t="s">
        <v>424</v>
      </c>
      <c r="D7" s="4" t="s">
        <v>425</v>
      </c>
      <c r="E7" s="4" t="s">
        <v>419</v>
      </c>
      <c r="F7" s="4" t="s">
        <v>426</v>
      </c>
    </row>
    <row r="8" spans="1:6" x14ac:dyDescent="0.25">
      <c r="A8" s="5">
        <v>4</v>
      </c>
      <c r="B8" s="5"/>
      <c r="C8" s="4" t="s">
        <v>427</v>
      </c>
      <c r="D8" s="4" t="s">
        <v>428</v>
      </c>
      <c r="E8" s="4" t="s">
        <v>422</v>
      </c>
      <c r="F8" s="4" t="s">
        <v>429</v>
      </c>
    </row>
    <row r="9" spans="1:6" x14ac:dyDescent="0.25">
      <c r="A9" s="49" t="s">
        <v>430</v>
      </c>
      <c r="B9" s="31"/>
      <c r="C9" s="31"/>
      <c r="D9" s="31"/>
      <c r="E9" s="31"/>
      <c r="F9" s="31"/>
    </row>
    <row r="10" spans="1:6" x14ac:dyDescent="0.25">
      <c r="A10" s="5">
        <v>5</v>
      </c>
      <c r="B10" s="5"/>
      <c r="C10" s="4" t="s">
        <v>431</v>
      </c>
      <c r="D10" s="4" t="s">
        <v>432</v>
      </c>
      <c r="E10" s="4" t="s">
        <v>419</v>
      </c>
      <c r="F10" s="4"/>
    </row>
    <row r="11" spans="1:6" ht="30" customHeight="1" x14ac:dyDescent="0.25">
      <c r="A11" s="5">
        <v>6</v>
      </c>
      <c r="B11" s="5"/>
      <c r="C11" s="4" t="s">
        <v>433</v>
      </c>
      <c r="D11" s="4" t="s">
        <v>434</v>
      </c>
      <c r="E11" s="4" t="s">
        <v>419</v>
      </c>
      <c r="F11" s="4"/>
    </row>
    <row r="12" spans="1:6" x14ac:dyDescent="0.25">
      <c r="A12" s="5">
        <v>7</v>
      </c>
      <c r="B12" s="5"/>
      <c r="C12" s="4" t="s">
        <v>435</v>
      </c>
      <c r="D12" s="4" t="s">
        <v>436</v>
      </c>
      <c r="E12" s="4" t="s">
        <v>437</v>
      </c>
      <c r="F12" s="4" t="s">
        <v>438</v>
      </c>
    </row>
    <row r="13" spans="1:6" x14ac:dyDescent="0.25">
      <c r="A13" s="5">
        <v>8</v>
      </c>
      <c r="B13" s="5"/>
      <c r="C13" s="4" t="s">
        <v>439</v>
      </c>
      <c r="D13" s="4" t="s">
        <v>440</v>
      </c>
      <c r="E13" s="4" t="s">
        <v>422</v>
      </c>
      <c r="F13" s="4" t="s">
        <v>441</v>
      </c>
    </row>
    <row r="14" spans="1:6" x14ac:dyDescent="0.25">
      <c r="A14" s="49" t="s">
        <v>442</v>
      </c>
      <c r="B14" s="31"/>
      <c r="C14" s="31"/>
      <c r="D14" s="31"/>
      <c r="E14" s="31"/>
      <c r="F14" s="31"/>
    </row>
    <row r="15" spans="1:6" x14ac:dyDescent="0.25">
      <c r="A15" s="5">
        <v>9</v>
      </c>
      <c r="B15" s="5"/>
      <c r="C15" s="4" t="s">
        <v>443</v>
      </c>
      <c r="D15" s="4" t="s">
        <v>444</v>
      </c>
      <c r="E15" s="4" t="s">
        <v>419</v>
      </c>
      <c r="F15" s="4"/>
    </row>
    <row r="16" spans="1:6" x14ac:dyDescent="0.25">
      <c r="A16" s="5">
        <v>10</v>
      </c>
      <c r="B16" s="5"/>
      <c r="C16" s="4" t="s">
        <v>445</v>
      </c>
      <c r="D16" s="4" t="s">
        <v>446</v>
      </c>
      <c r="E16" s="4" t="s">
        <v>437</v>
      </c>
      <c r="F16" s="4"/>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2:F2"/>
    <mergeCell ref="A14:F14"/>
    <mergeCell ref="A1:F1"/>
    <mergeCell ref="A9:F9"/>
    <mergeCell ref="A4:F4"/>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998"/>
  <sheetViews>
    <sheetView showGridLines="0" tabSelected="1" workbookViewId="0">
      <pane ySplit="2" topLeftCell="A3" activePane="bottomLeft" state="frozen"/>
      <selection pane="bottomLeft" activeCell="A3" sqref="A3"/>
    </sheetView>
  </sheetViews>
  <sheetFormatPr defaultColWidth="14.42578125" defaultRowHeight="15" customHeight="1" x14ac:dyDescent="0.25"/>
  <cols>
    <col min="1" max="1" width="9" customWidth="1"/>
    <col min="2" max="2" width="24" customWidth="1"/>
    <col min="3" max="3" width="26" customWidth="1"/>
    <col min="4" max="4" width="18" customWidth="1"/>
    <col min="5" max="5" width="34" customWidth="1"/>
    <col min="6" max="6" width="30" customWidth="1"/>
    <col min="7" max="7" width="12" customWidth="1"/>
    <col min="8" max="8" width="13" customWidth="1"/>
  </cols>
  <sheetData>
    <row r="1" spans="1:8" ht="27.75" customHeight="1" x14ac:dyDescent="0.25">
      <c r="A1" s="37" t="s">
        <v>447</v>
      </c>
      <c r="B1" s="31"/>
      <c r="C1" s="31"/>
      <c r="D1" s="31"/>
      <c r="E1" s="31"/>
      <c r="F1" s="31"/>
      <c r="G1" s="31"/>
      <c r="H1" s="31"/>
    </row>
    <row r="2" spans="1:8" x14ac:dyDescent="0.25">
      <c r="A2" s="2" t="s">
        <v>141</v>
      </c>
      <c r="B2" s="2" t="s">
        <v>448</v>
      </c>
      <c r="C2" s="2" t="s">
        <v>449</v>
      </c>
      <c r="D2" s="2" t="s">
        <v>124</v>
      </c>
      <c r="E2" s="2" t="s">
        <v>450</v>
      </c>
      <c r="F2" s="2" t="s">
        <v>451</v>
      </c>
      <c r="G2" s="2" t="s">
        <v>375</v>
      </c>
      <c r="H2" s="2" t="s">
        <v>25</v>
      </c>
    </row>
    <row r="3" spans="1:8" ht="42" customHeight="1" x14ac:dyDescent="0.25">
      <c r="A3" s="25" t="s">
        <v>271</v>
      </c>
      <c r="B3" s="25" t="s">
        <v>452</v>
      </c>
      <c r="C3" s="25" t="s">
        <v>453</v>
      </c>
      <c r="D3" s="25" t="s">
        <v>454</v>
      </c>
      <c r="E3" s="25" t="s">
        <v>455</v>
      </c>
      <c r="F3" s="25" t="s">
        <v>456</v>
      </c>
      <c r="G3" s="25" t="s">
        <v>457</v>
      </c>
      <c r="H3" s="25" t="s">
        <v>24</v>
      </c>
    </row>
    <row r="4" spans="1:8" ht="42" customHeight="1" x14ac:dyDescent="0.25">
      <c r="A4" s="25" t="s">
        <v>306</v>
      </c>
      <c r="B4" s="25" t="s">
        <v>458</v>
      </c>
      <c r="C4" s="25" t="s">
        <v>459</v>
      </c>
      <c r="D4" s="25" t="s">
        <v>460</v>
      </c>
      <c r="E4" s="25" t="s">
        <v>461</v>
      </c>
      <c r="F4" s="25" t="s">
        <v>462</v>
      </c>
      <c r="G4" s="25" t="s">
        <v>457</v>
      </c>
      <c r="H4" s="25" t="s">
        <v>159</v>
      </c>
    </row>
    <row r="5" spans="1:8" ht="42" customHeight="1" x14ac:dyDescent="0.25">
      <c r="A5" s="25" t="s">
        <v>322</v>
      </c>
      <c r="B5" s="25" t="s">
        <v>463</v>
      </c>
      <c r="C5" s="25" t="s">
        <v>464</v>
      </c>
      <c r="D5" s="25" t="s">
        <v>454</v>
      </c>
      <c r="E5" s="25" t="s">
        <v>465</v>
      </c>
      <c r="F5" s="25" t="s">
        <v>466</v>
      </c>
      <c r="G5" s="25" t="s">
        <v>467</v>
      </c>
      <c r="H5" s="25" t="s">
        <v>159</v>
      </c>
    </row>
    <row r="6" spans="1:8" ht="42" customHeight="1" x14ac:dyDescent="0.25">
      <c r="A6" s="25" t="s">
        <v>345</v>
      </c>
      <c r="B6" s="25" t="s">
        <v>468</v>
      </c>
      <c r="C6" s="25" t="s">
        <v>469</v>
      </c>
      <c r="D6" s="25" t="s">
        <v>460</v>
      </c>
      <c r="E6" s="25" t="s">
        <v>470</v>
      </c>
      <c r="F6" s="25" t="s">
        <v>471</v>
      </c>
      <c r="G6" s="25" t="s">
        <v>467</v>
      </c>
      <c r="H6" s="25" t="s">
        <v>159</v>
      </c>
    </row>
    <row r="7" spans="1:8" ht="42" customHeight="1" x14ac:dyDescent="0.25">
      <c r="A7" s="25" t="s">
        <v>339</v>
      </c>
      <c r="B7" s="25" t="s">
        <v>472</v>
      </c>
      <c r="C7" s="25" t="s">
        <v>473</v>
      </c>
      <c r="D7" s="25" t="s">
        <v>454</v>
      </c>
      <c r="E7" s="25" t="s">
        <v>474</v>
      </c>
      <c r="F7" s="25" t="s">
        <v>475</v>
      </c>
      <c r="G7" s="25" t="s">
        <v>467</v>
      </c>
      <c r="H7" s="25" t="s">
        <v>159</v>
      </c>
    </row>
    <row r="8" spans="1:8" ht="42" customHeight="1" x14ac:dyDescent="0.25">
      <c r="A8" s="25" t="s">
        <v>351</v>
      </c>
      <c r="B8" s="25" t="s">
        <v>476</v>
      </c>
      <c r="C8" s="25" t="s">
        <v>477</v>
      </c>
      <c r="D8" s="25" t="s">
        <v>460</v>
      </c>
      <c r="E8" s="25" t="s">
        <v>478</v>
      </c>
      <c r="F8" s="25" t="s">
        <v>479</v>
      </c>
      <c r="G8" s="25" t="s">
        <v>480</v>
      </c>
      <c r="H8" s="25" t="s">
        <v>159</v>
      </c>
    </row>
    <row r="9" spans="1:8" ht="42" customHeight="1" x14ac:dyDescent="0.25">
      <c r="A9" s="25" t="s">
        <v>256</v>
      </c>
      <c r="B9" s="25" t="s">
        <v>481</v>
      </c>
      <c r="C9" s="25" t="s">
        <v>482</v>
      </c>
      <c r="D9" s="25" t="s">
        <v>483</v>
      </c>
      <c r="E9" s="25" t="s">
        <v>484</v>
      </c>
      <c r="F9" s="25" t="s">
        <v>485</v>
      </c>
      <c r="G9" s="25" t="s">
        <v>457</v>
      </c>
      <c r="H9" s="25" t="s">
        <v>159</v>
      </c>
    </row>
    <row r="10" spans="1:8" ht="45" customHeight="1" x14ac:dyDescent="0.25">
      <c r="A10" s="25"/>
      <c r="B10" s="25"/>
      <c r="C10" s="25"/>
      <c r="D10" s="25"/>
      <c r="E10" s="25"/>
      <c r="F10" s="25"/>
      <c r="G10" s="25"/>
      <c r="H10" s="25"/>
    </row>
    <row r="11" spans="1:8" ht="15.75" customHeight="1" thickBot="1" x14ac:dyDescent="0.3">
      <c r="A11" s="54" t="s">
        <v>491</v>
      </c>
      <c r="B11" s="54"/>
      <c r="C11" s="54"/>
      <c r="D11" s="54"/>
      <c r="E11" s="54"/>
      <c r="F11" s="54"/>
      <c r="G11" s="54"/>
      <c r="H11" s="54"/>
    </row>
    <row r="12" spans="1:8" ht="16.5" customHeight="1" thickBot="1" x14ac:dyDescent="0.3">
      <c r="A12" s="1" t="s">
        <v>457</v>
      </c>
      <c r="B12" s="51" t="s">
        <v>490</v>
      </c>
      <c r="C12" s="52"/>
      <c r="D12" s="52"/>
      <c r="E12" s="52"/>
      <c r="F12" s="52"/>
      <c r="G12" s="52"/>
      <c r="H12" s="53"/>
    </row>
    <row r="13" spans="1:8" x14ac:dyDescent="0.25">
      <c r="A13" s="1" t="s">
        <v>467</v>
      </c>
      <c r="B13" s="27" t="s">
        <v>486</v>
      </c>
      <c r="C13" s="28"/>
      <c r="D13" s="28"/>
      <c r="E13" s="28"/>
      <c r="F13" s="28"/>
      <c r="G13" s="28"/>
      <c r="H13" s="29"/>
    </row>
    <row r="14" spans="1:8" ht="30" customHeight="1" x14ac:dyDescent="0.25">
      <c r="A14" s="1" t="s">
        <v>480</v>
      </c>
      <c r="B14" s="27" t="s">
        <v>487</v>
      </c>
      <c r="C14" s="28"/>
      <c r="D14" s="28"/>
      <c r="E14" s="28"/>
      <c r="F14" s="28"/>
      <c r="G14" s="28"/>
      <c r="H14" s="29"/>
    </row>
    <row r="15" spans="1:8" ht="30" customHeight="1" x14ac:dyDescent="0.25">
      <c r="A15" s="1" t="s">
        <v>488</v>
      </c>
      <c r="B15" s="27" t="s">
        <v>489</v>
      </c>
      <c r="C15" s="28"/>
      <c r="D15" s="28"/>
      <c r="E15" s="28"/>
      <c r="F15" s="28"/>
      <c r="G15" s="28"/>
      <c r="H15" s="29"/>
    </row>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6">
    <mergeCell ref="B13:H13"/>
    <mergeCell ref="B14:H14"/>
    <mergeCell ref="B15:H15"/>
    <mergeCell ref="A1:H1"/>
    <mergeCell ref="B12:H12"/>
    <mergeCell ref="A11:H11"/>
  </mergeCells>
  <pageMargins left="0.75" right="0.75" top="1" bottom="1"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Tổng hợp hồ sơ</vt:lpstr>
      <vt:lpstr>PRD</vt:lpstr>
      <vt:lpstr>Mini-SRS</vt:lpstr>
      <vt:lpstr>Project Charter</vt:lpstr>
      <vt:lpstr>Backlog</vt:lpstr>
      <vt:lpstr>Bug</vt:lpstr>
      <vt:lpstr>Đường link</vt:lpstr>
      <vt:lpstr>User 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2026-07-17T08:28:04Z</dcterms:created>
  <dcterms:modified xsi:type="dcterms:W3CDTF">2026-07-17T08:53:15Z</dcterms:modified>
</cp:coreProperties>
</file>